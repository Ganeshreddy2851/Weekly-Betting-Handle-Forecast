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f618df287b20022/Desktop/weekly_handle_forecast/"/>
    </mc:Choice>
  </mc:AlternateContent>
  <xr:revisionPtr revIDLastSave="5" documentId="8_{929E33FC-6BDE-482C-B263-F107424B9A5E}" xr6:coauthVersionLast="47" xr6:coauthVersionMax="47" xr10:uidLastSave="{A772C9EC-51EC-406B-9CCD-973F020F5454}"/>
  <bookViews>
    <workbookView xWindow="-108" yWindow="-108" windowWidth="23256" windowHeight="12456" tabRatio="500" xr2:uid="{00000000-000D-0000-FFFF-FFFF00000000}"/>
  </bookViews>
  <sheets>
    <sheet name="overview" sheetId="1" r:id="rId1"/>
    <sheet name="Forecast" sheetId="2" r:id="rId2"/>
    <sheet name="Dashboar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9" i="3" l="1"/>
  <c r="A18" i="3"/>
  <c r="A17" i="3"/>
  <c r="A16" i="3"/>
  <c r="K65" i="2"/>
  <c r="N65" i="2" s="1"/>
  <c r="F65" i="2"/>
  <c r="E65" i="2"/>
  <c r="K64" i="2"/>
  <c r="N64" i="2" s="1"/>
  <c r="F64" i="2"/>
  <c r="E64" i="2"/>
  <c r="K63" i="2"/>
  <c r="N63" i="2" s="1"/>
  <c r="F63" i="2"/>
  <c r="E63" i="2"/>
  <c r="K62" i="2"/>
  <c r="N62" i="2" s="1"/>
  <c r="B9" i="3" s="1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E5" i="2"/>
  <c r="E4" i="2"/>
  <c r="E3" i="2"/>
  <c r="I2" i="2"/>
  <c r="H2" i="2"/>
  <c r="H3" i="2" s="1"/>
  <c r="G2" i="2"/>
  <c r="G3" i="2" s="1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E2" i="2"/>
  <c r="L65" i="2" l="1"/>
  <c r="O65" i="2" s="1"/>
  <c r="L64" i="2"/>
  <c r="O64" i="2" s="1"/>
  <c r="L63" i="2"/>
  <c r="O63" i="2" s="1"/>
  <c r="L62" i="2"/>
  <c r="O62" i="2" s="1"/>
  <c r="G62" i="2"/>
  <c r="G63" i="2" s="1"/>
  <c r="G64" i="2" s="1"/>
  <c r="G65" i="2" s="1"/>
  <c r="I3" i="2"/>
  <c r="J4" i="2"/>
  <c r="H4" i="2"/>
  <c r="J3" i="2"/>
  <c r="B10" i="3" l="1"/>
  <c r="I4" i="2"/>
  <c r="H5" i="2" s="1"/>
  <c r="I5" i="2" l="1"/>
  <c r="H6" i="2" s="1"/>
  <c r="J6" i="2"/>
  <c r="J5" i="2"/>
  <c r="I6" i="2" l="1"/>
  <c r="J7" i="2" s="1"/>
  <c r="H7" i="2" l="1"/>
  <c r="I7" i="2" l="1"/>
  <c r="J8" i="2" s="1"/>
  <c r="H8" i="2"/>
  <c r="I8" i="2" l="1"/>
  <c r="H9" i="2" s="1"/>
  <c r="I9" i="2" l="1"/>
  <c r="J10" i="2"/>
  <c r="H10" i="2"/>
  <c r="J9" i="2"/>
  <c r="I10" i="2" l="1"/>
  <c r="J11" i="2" s="1"/>
  <c r="H11" i="2" l="1"/>
  <c r="I11" i="2" l="1"/>
  <c r="J12" i="2" s="1"/>
  <c r="H12" i="2" l="1"/>
  <c r="I12" i="2" s="1"/>
  <c r="J13" i="2" s="1"/>
  <c r="H13" i="2" l="1"/>
  <c r="I13" i="2" l="1"/>
  <c r="J14" i="2" s="1"/>
  <c r="H14" i="2" l="1"/>
  <c r="I14" i="2" s="1"/>
  <c r="J15" i="2" s="1"/>
  <c r="H15" i="2" l="1"/>
  <c r="I15" i="2" l="1"/>
  <c r="H16" i="2" s="1"/>
  <c r="J16" i="2" l="1"/>
  <c r="I16" i="2"/>
  <c r="H17" i="2" s="1"/>
  <c r="J17" i="2" l="1"/>
  <c r="I17" i="2"/>
  <c r="J18" i="2" s="1"/>
  <c r="H18" i="2"/>
  <c r="I18" i="2" l="1"/>
  <c r="J19" i="2" s="1"/>
  <c r="H19" i="2" l="1"/>
  <c r="I19" i="2" s="1"/>
  <c r="H20" i="2" l="1"/>
  <c r="J20" i="2"/>
  <c r="I20" i="2"/>
  <c r="J21" i="2" s="1"/>
  <c r="H21" i="2" l="1"/>
  <c r="I21" i="2"/>
  <c r="J22" i="2"/>
  <c r="H22" i="2"/>
  <c r="I22" i="2" l="1"/>
  <c r="J23" i="2" s="1"/>
  <c r="H23" i="2" l="1"/>
  <c r="I23" i="2" l="1"/>
  <c r="J24" i="2" s="1"/>
  <c r="H24" i="2"/>
  <c r="I24" i="2" l="1"/>
  <c r="J25" i="2" s="1"/>
  <c r="H25" i="2" l="1"/>
  <c r="I25" i="2" l="1"/>
  <c r="J26" i="2" s="1"/>
  <c r="H26" i="2"/>
  <c r="I26" i="2" l="1"/>
  <c r="J27" i="2" s="1"/>
  <c r="H27" i="2" l="1"/>
  <c r="I27" i="2" s="1"/>
  <c r="H28" i="2" s="1"/>
  <c r="J28" i="2" l="1"/>
  <c r="I28" i="2"/>
  <c r="J29" i="2" s="1"/>
  <c r="H29" i="2" l="1"/>
  <c r="I29" i="2" s="1"/>
  <c r="H30" i="2" s="1"/>
  <c r="J30" i="2" l="1"/>
  <c r="I30" i="2"/>
  <c r="J31" i="2" s="1"/>
  <c r="H31" i="2" l="1"/>
  <c r="I31" i="2"/>
  <c r="H32" i="2" s="1"/>
  <c r="J32" i="2" l="1"/>
  <c r="I32" i="2"/>
  <c r="J33" i="2" s="1"/>
  <c r="H33" i="2" l="1"/>
  <c r="I33" i="2" s="1"/>
  <c r="H34" i="2" s="1"/>
  <c r="I34" i="2" l="1"/>
  <c r="H35" i="2" s="1"/>
  <c r="J34" i="2"/>
  <c r="J35" i="2" l="1"/>
  <c r="I35" i="2"/>
  <c r="H36" i="2" s="1"/>
  <c r="J36" i="2" l="1"/>
  <c r="I36" i="2"/>
  <c r="J37" i="2" s="1"/>
  <c r="H37" i="2" l="1"/>
  <c r="I37" i="2" s="1"/>
  <c r="H38" i="2" s="1"/>
  <c r="I38" i="2" l="1"/>
  <c r="J39" i="2" s="1"/>
  <c r="J38" i="2"/>
  <c r="H39" i="2" l="1"/>
  <c r="I39" i="2" s="1"/>
  <c r="H40" i="2" s="1"/>
  <c r="J40" i="2" l="1"/>
  <c r="I40" i="2"/>
  <c r="J41" i="2" s="1"/>
  <c r="H41" i="2" l="1"/>
  <c r="I41" i="2" l="1"/>
  <c r="H42" i="2" s="1"/>
  <c r="J42" i="2" l="1"/>
  <c r="I42" i="2"/>
  <c r="J43" i="2" s="1"/>
  <c r="H43" i="2" l="1"/>
  <c r="I43" i="2" s="1"/>
  <c r="H44" i="2" s="1"/>
  <c r="J44" i="2" l="1"/>
  <c r="I44" i="2"/>
  <c r="J45" i="2" s="1"/>
  <c r="H45" i="2" l="1"/>
  <c r="I45" i="2" l="1"/>
  <c r="J46" i="2" s="1"/>
  <c r="H46" i="2" l="1"/>
  <c r="I46" i="2" s="1"/>
  <c r="J47" i="2" s="1"/>
  <c r="H47" i="2" l="1"/>
  <c r="I47" i="2" s="1"/>
  <c r="H48" i="2" l="1"/>
  <c r="J48" i="2"/>
  <c r="I48" i="2" l="1"/>
  <c r="H49" i="2" s="1"/>
  <c r="J50" i="2" l="1"/>
  <c r="I49" i="2"/>
  <c r="J49" i="2"/>
  <c r="H50" i="2"/>
  <c r="I50" i="2"/>
  <c r="J51" i="2" s="1"/>
  <c r="H51" i="2" l="1"/>
  <c r="I51" i="2"/>
  <c r="H52" i="2" s="1"/>
  <c r="J52" i="2"/>
  <c r="I52" i="2" l="1"/>
  <c r="J53" i="2" s="1"/>
  <c r="H53" i="2" l="1"/>
  <c r="I53" i="2" l="1"/>
  <c r="J54" i="2"/>
  <c r="H54" i="2"/>
  <c r="I54" i="2" l="1"/>
  <c r="J55" i="2" s="1"/>
  <c r="H55" i="2" l="1"/>
  <c r="I55" i="2" l="1"/>
  <c r="H56" i="2" s="1"/>
  <c r="J56" i="2"/>
  <c r="I56" i="2" l="1"/>
  <c r="J57" i="2" s="1"/>
  <c r="H57" i="2" l="1"/>
  <c r="I57" i="2" l="1"/>
  <c r="J58" i="2" s="1"/>
  <c r="H58" i="2" l="1"/>
  <c r="I58" i="2"/>
  <c r="J59" i="2" s="1"/>
  <c r="H59" i="2" l="1"/>
  <c r="I59" i="2" l="1"/>
  <c r="J60" i="2" s="1"/>
  <c r="H60" i="2" l="1"/>
  <c r="I60" i="2" s="1"/>
  <c r="J61" i="2" s="1"/>
  <c r="H61" i="2" l="1"/>
  <c r="I61" i="2" l="1"/>
  <c r="M65" i="2"/>
  <c r="P65" i="2" s="1"/>
  <c r="M64" i="2"/>
  <c r="P64" i="2" s="1"/>
  <c r="M63" i="2"/>
  <c r="P63" i="2" s="1"/>
  <c r="M62" i="2"/>
  <c r="P62" i="2" s="1"/>
  <c r="B11" i="3" s="1"/>
  <c r="B12" i="3" s="1"/>
  <c r="J62" i="2"/>
  <c r="H62" i="2"/>
  <c r="I62" i="2" l="1"/>
  <c r="J63" i="2" s="1"/>
  <c r="H63" i="2"/>
  <c r="I63" i="2" l="1"/>
  <c r="J64" i="2" s="1"/>
  <c r="H64" i="2" l="1"/>
  <c r="I64" i="2" l="1"/>
  <c r="J65" i="2" s="1"/>
  <c r="H65" i="2" l="1"/>
  <c r="I65" i="2" s="1"/>
  <c r="B19" i="3" s="1"/>
  <c r="B16" i="3"/>
  <c r="B17" i="3"/>
  <c r="B18" i="3"/>
</calcChain>
</file>

<file path=xl/sharedStrings.xml><?xml version="1.0" encoding="utf-8"?>
<sst xmlns="http://schemas.openxmlformats.org/spreadsheetml/2006/main" count="59" uniqueCount="58">
  <si>
    <t>PURPOSE</t>
  </si>
  <si>
    <t>Forecast weekly sportsbook betting handle and compare three models on a 4-week holdout: a 4-week simple moving</t>
  </si>
  <si>
    <t>average (MA), simple exponential smoothing (ES), and Holt's linear trend method. Data: 64 complete weeks of</t>
  </si>
  <si>
    <t>synthetic sportsbook activity (2025-01-05 to 2026-03-22), aggregated from ~89K bets in SQL Server.</t>
  </si>
  <si>
    <t>HOW TO USE</t>
  </si>
  <si>
    <t>1. Dashboard sheet: yellow cells B4 (alpha) and B5 (beta) are the only editable inputs. Alpha = level smoothing,</t>
  </si>
  <si>
    <t xml:space="preserve">   beta = trend smoothing. Change them and every model, MAPE, and the forward forecast recalculate instantly.</t>
  </si>
  <si>
    <t>2. Forecast sheet: all model columns are live formulas — columns E/F/I are one-step in-sample fits;</t>
  </si>
  <si>
    <t xml:space="preserve">   columns J/K/L are the honest multi-step holdout forecasts (frozen at the training cutoff, 2026-02-22).</t>
  </si>
  <si>
    <t>3. Dashboard shows holdout MAPE per model, the winner, and a 4-week forward forecast from Holt refit on all data.</t>
  </si>
  <si>
    <t>DESIGN DECISIONS (interview talking points)</t>
  </si>
  <si>
    <t>- Partial weeks excluded: the raw extract had 66 weeks; the first (2024-12-29) and last (2026-03-29) covered only</t>
  </si>
  <si>
    <t xml:space="preserve">  2-3 days each. Forecasting from truncated weeks is a classic error — both were removed before modeling.</t>
  </si>
  <si>
    <t>- Honest holdout: for the 4 holdout weeks, MA is frozen flat at the last 4 training weeks' average, ES flat at its</t>
  </si>
  <si>
    <t xml:space="preserve">  final smoothed level, and Holt extrapolates level + h x trend. No model sees holdout actuals.</t>
  </si>
  <si>
    <t>- Why MA and ES fail here: neither has a trend term, so both assume the future equals the recent level. In a series</t>
  </si>
  <si>
    <t xml:space="preserve">  declining ~15% per week, they systematically over-forecast. Holt's second equation tracks the slope and follows</t>
  </si>
  <si>
    <t xml:space="preserve">  the decline — that is why its holdout MAPE is dramatically lower.</t>
  </si>
  <si>
    <t>- Decomposition insight (col D): handle per active player stayed ~$180-210 all year. The decline is population</t>
  </si>
  <si>
    <t xml:space="preserve">  shrinkage (churn after signups stopped Dec 2025), not reduced betting per player — consistent with the companion</t>
  </si>
  <si>
    <t xml:space="preserve">  cohort retention project.</t>
  </si>
  <si>
    <t>LEGEND</t>
  </si>
  <si>
    <t>Blue font on yellow fill = editable input (Dashboard!B4, B5). Black = formula. Do not edit formula cells.</t>
  </si>
  <si>
    <t>Ganesh Reddy Peesari  |  Data source: synthetic sportsbook dataset (SQL Server aggregate of bets table)</t>
  </si>
  <si>
    <t>Week Start</t>
  </si>
  <si>
    <t>Actual Handle ($)</t>
  </si>
  <si>
    <t>Bets</t>
  </si>
  <si>
    <t>Active Players</t>
  </si>
  <si>
    <t>Handle / Player ($)</t>
  </si>
  <si>
    <t>MA 4-wk Fit ($)</t>
  </si>
  <si>
    <t>ES Fit ($)</t>
  </si>
  <si>
    <t>Holt Level</t>
  </si>
  <si>
    <t>Holt Trend</t>
  </si>
  <si>
    <t>Holt Fit ($)</t>
  </si>
  <si>
    <t>Holdout: MA ($)</t>
  </si>
  <si>
    <t>Holdout: ES ($)</t>
  </si>
  <si>
    <t>Holdout: Holt ($)</t>
  </si>
  <si>
    <t>APE MA</t>
  </si>
  <si>
    <t>APE ES</t>
  </si>
  <si>
    <t>APE Holt</t>
  </si>
  <si>
    <t>Gray rows = 4-week holdout (2026-03-01 to 2026-03-22). Holdout forecasts (cols K-M) are frozen at the 2026-02-22 training cutoff and never see holdout actuals. Cols F/G/J are one-step in-sample fits for the chart.</t>
  </si>
  <si>
    <t>Weekly Handle Forecast — Model Comparison</t>
  </si>
  <si>
    <t>MODEL INPUTS</t>
  </si>
  <si>
    <t>Alpha (level smoothing)</t>
  </si>
  <si>
    <t>editable — try 0.1 to 0.8</t>
  </si>
  <si>
    <t>Beta (trend smoothing)</t>
  </si>
  <si>
    <t>editable — Holt only</t>
  </si>
  <si>
    <t>HOLDOUT ACCURACY (last 4 complete weeks)</t>
  </si>
  <si>
    <t>Model</t>
  </si>
  <si>
    <t>MAPE</t>
  </si>
  <si>
    <t>4-week Moving Average</t>
  </si>
  <si>
    <t>Exponential Smoothing</t>
  </si>
  <si>
    <t>Holt's Linear Trend</t>
  </si>
  <si>
    <t>Best model</t>
  </si>
  <si>
    <t>FORWARD FORECAST — next 4 weeks (Holt, refit on all 64 weeks)</t>
  </si>
  <si>
    <t>Forecast Handle ($)</t>
  </si>
  <si>
    <t>Note: forecasts floored at $0; the series is in structural decline because signups stopped Dec 2025.</t>
  </si>
  <si>
    <t>Weekly Betting Handle Forecast - Moving Average vs Exponential Smoothing vs Holt's Trend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</si>
</sst>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"/>
    <numFmt numFmtId="166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1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595959"/>
      <name val="Arial"/>
      <charset val="1"/>
    </font>
    <font>
      <sz val="11"/>
      <color theme="1"/>
      <name val="Arial"/>
      <charset val="1"/>
    </font>
    <font>
      <sz val="11"/>
      <color rgb="FF0000FF"/>
      <name val="Arial"/>
      <charset val="1"/>
    </font>
    <font>
      <i/>
      <sz val="9"/>
      <color rgb="FF59595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4" fontId="0" fillId="3" borderId="0" xfId="0" applyNumberFormat="1" applyFill="1"/>
    <xf numFmtId="165" fontId="0" fillId="3" borderId="0" xfId="0" applyNumberFormat="1" applyFill="1"/>
    <xf numFmtId="3" fontId="0" fillId="3" borderId="0" xfId="0" applyNumberFormat="1" applyFill="1"/>
    <xf numFmtId="166" fontId="0" fillId="3" borderId="0" xfId="0" applyNumberFormat="1" applyFill="1"/>
    <xf numFmtId="0" fontId="6" fillId="0" borderId="0" xfId="0" applyFont="1"/>
    <xf numFmtId="0" fontId="7" fillId="0" borderId="0" xfId="0" applyFont="1"/>
    <xf numFmtId="2" fontId="8" fillId="4" borderId="0" xfId="0" applyNumberFormat="1" applyFont="1" applyFill="1"/>
    <xf numFmtId="0" fontId="9" fillId="0" borderId="0" xfId="0" applyFont="1"/>
    <xf numFmtId="0" fontId="5" fillId="2" borderId="0" xfId="0" applyFont="1" applyFill="1"/>
    <xf numFmtId="166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Weekly Handle: Actual vs Model Fits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Actual Handle ($)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Forecast!$A$2:$A$65</c:f>
              <c:numCache>
                <c:formatCode>yyyy\-mm\-dd</c:formatCode>
                <c:ptCount val="64"/>
                <c:pt idx="0">
                  <c:v>45662</c:v>
                </c:pt>
                <c:pt idx="1">
                  <c:v>45669</c:v>
                </c:pt>
                <c:pt idx="2">
                  <c:v>45676</c:v>
                </c:pt>
                <c:pt idx="3">
                  <c:v>45683</c:v>
                </c:pt>
                <c:pt idx="4">
                  <c:v>45690</c:v>
                </c:pt>
                <c:pt idx="5">
                  <c:v>45697</c:v>
                </c:pt>
                <c:pt idx="6">
                  <c:v>45704</c:v>
                </c:pt>
                <c:pt idx="7">
                  <c:v>45711</c:v>
                </c:pt>
                <c:pt idx="8">
                  <c:v>45718</c:v>
                </c:pt>
                <c:pt idx="9">
                  <c:v>45725</c:v>
                </c:pt>
                <c:pt idx="10">
                  <c:v>45732</c:v>
                </c:pt>
                <c:pt idx="11">
                  <c:v>45739</c:v>
                </c:pt>
                <c:pt idx="12">
                  <c:v>45746</c:v>
                </c:pt>
                <c:pt idx="13">
                  <c:v>45753</c:v>
                </c:pt>
                <c:pt idx="14">
                  <c:v>45760</c:v>
                </c:pt>
                <c:pt idx="15">
                  <c:v>45767</c:v>
                </c:pt>
                <c:pt idx="16">
                  <c:v>45774</c:v>
                </c:pt>
                <c:pt idx="17">
                  <c:v>45781</c:v>
                </c:pt>
                <c:pt idx="18">
                  <c:v>45788</c:v>
                </c:pt>
                <c:pt idx="19">
                  <c:v>45795</c:v>
                </c:pt>
                <c:pt idx="20">
                  <c:v>45802</c:v>
                </c:pt>
                <c:pt idx="21">
                  <c:v>45809</c:v>
                </c:pt>
                <c:pt idx="22">
                  <c:v>45816</c:v>
                </c:pt>
                <c:pt idx="23">
                  <c:v>45823</c:v>
                </c:pt>
                <c:pt idx="24">
                  <c:v>45830</c:v>
                </c:pt>
                <c:pt idx="25">
                  <c:v>45837</c:v>
                </c:pt>
                <c:pt idx="26">
                  <c:v>45844</c:v>
                </c:pt>
                <c:pt idx="27">
                  <c:v>45851</c:v>
                </c:pt>
                <c:pt idx="28">
                  <c:v>45858</c:v>
                </c:pt>
                <c:pt idx="29">
                  <c:v>45865</c:v>
                </c:pt>
                <c:pt idx="30">
                  <c:v>45872</c:v>
                </c:pt>
                <c:pt idx="31">
                  <c:v>45879</c:v>
                </c:pt>
                <c:pt idx="32">
                  <c:v>45886</c:v>
                </c:pt>
                <c:pt idx="33">
                  <c:v>45893</c:v>
                </c:pt>
                <c:pt idx="34">
                  <c:v>45900</c:v>
                </c:pt>
                <c:pt idx="35">
                  <c:v>45907</c:v>
                </c:pt>
                <c:pt idx="36">
                  <c:v>45914</c:v>
                </c:pt>
                <c:pt idx="37">
                  <c:v>45921</c:v>
                </c:pt>
                <c:pt idx="38">
                  <c:v>45928</c:v>
                </c:pt>
                <c:pt idx="39">
                  <c:v>45935</c:v>
                </c:pt>
                <c:pt idx="40">
                  <c:v>45942</c:v>
                </c:pt>
                <c:pt idx="41">
                  <c:v>45949</c:v>
                </c:pt>
                <c:pt idx="42">
                  <c:v>45956</c:v>
                </c:pt>
                <c:pt idx="43">
                  <c:v>45963</c:v>
                </c:pt>
                <c:pt idx="44">
                  <c:v>45970</c:v>
                </c:pt>
                <c:pt idx="45">
                  <c:v>45977</c:v>
                </c:pt>
                <c:pt idx="46">
                  <c:v>45984</c:v>
                </c:pt>
                <c:pt idx="47">
                  <c:v>45991</c:v>
                </c:pt>
                <c:pt idx="48">
                  <c:v>45998</c:v>
                </c:pt>
                <c:pt idx="49">
                  <c:v>46005</c:v>
                </c:pt>
                <c:pt idx="50">
                  <c:v>46012</c:v>
                </c:pt>
                <c:pt idx="51">
                  <c:v>46019</c:v>
                </c:pt>
                <c:pt idx="52">
                  <c:v>46026</c:v>
                </c:pt>
                <c:pt idx="53">
                  <c:v>46033</c:v>
                </c:pt>
                <c:pt idx="54">
                  <c:v>46040</c:v>
                </c:pt>
                <c:pt idx="55">
                  <c:v>46047</c:v>
                </c:pt>
                <c:pt idx="56">
                  <c:v>46054</c:v>
                </c:pt>
                <c:pt idx="57">
                  <c:v>46061</c:v>
                </c:pt>
                <c:pt idx="58">
                  <c:v>46068</c:v>
                </c:pt>
                <c:pt idx="59">
                  <c:v>46075</c:v>
                </c:pt>
                <c:pt idx="60">
                  <c:v>46082</c:v>
                </c:pt>
                <c:pt idx="61">
                  <c:v>46089</c:v>
                </c:pt>
                <c:pt idx="62">
                  <c:v>46096</c:v>
                </c:pt>
                <c:pt idx="63">
                  <c:v>46103</c:v>
                </c:pt>
              </c:numCache>
            </c:numRef>
          </c:cat>
          <c:val>
            <c:numRef>
              <c:f>Forecast!$B$2:$B$65</c:f>
              <c:numCache>
                <c:formatCode>\$#,##0</c:formatCode>
                <c:ptCount val="64"/>
                <c:pt idx="0">
                  <c:v>7812.93</c:v>
                </c:pt>
                <c:pt idx="1">
                  <c:v>21035.87</c:v>
                </c:pt>
                <c:pt idx="2">
                  <c:v>25968.68</c:v>
                </c:pt>
                <c:pt idx="3">
                  <c:v>27236.17</c:v>
                </c:pt>
                <c:pt idx="4">
                  <c:v>24355.58</c:v>
                </c:pt>
                <c:pt idx="5">
                  <c:v>30851.57</c:v>
                </c:pt>
                <c:pt idx="6">
                  <c:v>34520.339999999997</c:v>
                </c:pt>
                <c:pt idx="7">
                  <c:v>36075.4</c:v>
                </c:pt>
                <c:pt idx="8">
                  <c:v>42485.120000000003</c:v>
                </c:pt>
                <c:pt idx="9">
                  <c:v>48508.45</c:v>
                </c:pt>
                <c:pt idx="10">
                  <c:v>39583.9</c:v>
                </c:pt>
                <c:pt idx="11">
                  <c:v>43136.89</c:v>
                </c:pt>
                <c:pt idx="12">
                  <c:v>43237.69</c:v>
                </c:pt>
                <c:pt idx="13">
                  <c:v>51872.51</c:v>
                </c:pt>
                <c:pt idx="14">
                  <c:v>42744.28</c:v>
                </c:pt>
                <c:pt idx="15">
                  <c:v>55494.16</c:v>
                </c:pt>
                <c:pt idx="16">
                  <c:v>50019.46</c:v>
                </c:pt>
                <c:pt idx="17">
                  <c:v>53008.480000000003</c:v>
                </c:pt>
                <c:pt idx="18">
                  <c:v>58628.57</c:v>
                </c:pt>
                <c:pt idx="19">
                  <c:v>49840.6</c:v>
                </c:pt>
                <c:pt idx="20">
                  <c:v>55500.78</c:v>
                </c:pt>
                <c:pt idx="21">
                  <c:v>60196.34</c:v>
                </c:pt>
                <c:pt idx="22">
                  <c:v>61200.43</c:v>
                </c:pt>
                <c:pt idx="23">
                  <c:v>56268.08</c:v>
                </c:pt>
                <c:pt idx="24">
                  <c:v>57260.81</c:v>
                </c:pt>
                <c:pt idx="25">
                  <c:v>58928.28</c:v>
                </c:pt>
                <c:pt idx="26">
                  <c:v>52917.22</c:v>
                </c:pt>
                <c:pt idx="27">
                  <c:v>54095.34</c:v>
                </c:pt>
                <c:pt idx="28">
                  <c:v>57501.45</c:v>
                </c:pt>
                <c:pt idx="29">
                  <c:v>57338.27</c:v>
                </c:pt>
                <c:pt idx="30">
                  <c:v>58723.16</c:v>
                </c:pt>
                <c:pt idx="31">
                  <c:v>56325.06</c:v>
                </c:pt>
                <c:pt idx="32">
                  <c:v>59546.080000000002</c:v>
                </c:pt>
                <c:pt idx="33">
                  <c:v>54290.07</c:v>
                </c:pt>
                <c:pt idx="34">
                  <c:v>57838.35</c:v>
                </c:pt>
                <c:pt idx="35">
                  <c:v>57775.69</c:v>
                </c:pt>
                <c:pt idx="36">
                  <c:v>51827.48</c:v>
                </c:pt>
                <c:pt idx="37">
                  <c:v>57882.15</c:v>
                </c:pt>
                <c:pt idx="38">
                  <c:v>52462.77</c:v>
                </c:pt>
                <c:pt idx="39">
                  <c:v>47694.17</c:v>
                </c:pt>
                <c:pt idx="40">
                  <c:v>51932.13</c:v>
                </c:pt>
                <c:pt idx="41">
                  <c:v>61708.66</c:v>
                </c:pt>
                <c:pt idx="42">
                  <c:v>57619.72</c:v>
                </c:pt>
                <c:pt idx="43">
                  <c:v>50847.46</c:v>
                </c:pt>
                <c:pt idx="44">
                  <c:v>54671.4</c:v>
                </c:pt>
                <c:pt idx="45">
                  <c:v>54282.95</c:v>
                </c:pt>
                <c:pt idx="46">
                  <c:v>57009.19</c:v>
                </c:pt>
                <c:pt idx="47">
                  <c:v>57911.73</c:v>
                </c:pt>
                <c:pt idx="48">
                  <c:v>51957.8</c:v>
                </c:pt>
                <c:pt idx="49">
                  <c:v>57268.91</c:v>
                </c:pt>
                <c:pt idx="50">
                  <c:v>48747.6</c:v>
                </c:pt>
                <c:pt idx="51">
                  <c:v>48564.36</c:v>
                </c:pt>
                <c:pt idx="52">
                  <c:v>36540.36</c:v>
                </c:pt>
                <c:pt idx="53">
                  <c:v>34971.93</c:v>
                </c:pt>
                <c:pt idx="54">
                  <c:v>31012.43</c:v>
                </c:pt>
                <c:pt idx="55">
                  <c:v>27533.040000000001</c:v>
                </c:pt>
                <c:pt idx="56">
                  <c:v>26477.95</c:v>
                </c:pt>
                <c:pt idx="57">
                  <c:v>21353.7</c:v>
                </c:pt>
                <c:pt idx="58">
                  <c:v>19117.349999999999</c:v>
                </c:pt>
                <c:pt idx="59">
                  <c:v>15256.65</c:v>
                </c:pt>
                <c:pt idx="60">
                  <c:v>12572.86</c:v>
                </c:pt>
                <c:pt idx="61">
                  <c:v>12341.76</c:v>
                </c:pt>
                <c:pt idx="62">
                  <c:v>13417.56</c:v>
                </c:pt>
                <c:pt idx="63">
                  <c:v>10364.969999999999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6C-4A65-9B6B-ABFD0C4E01F0}"/>
            </c:ext>
          </c:extLst>
        </c:ser>
        <c:ser>
          <c:idx val="1"/>
          <c:order val="1"/>
          <c:tx>
            <c:strRef>
              <c:f>Forecast!$F$1</c:f>
              <c:strCache>
                <c:ptCount val="1"/>
                <c:pt idx="0">
                  <c:v>MA 4-wk Fit ($)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Forecast!$A$2:$A$65</c:f>
              <c:numCache>
                <c:formatCode>yyyy\-mm\-dd</c:formatCode>
                <c:ptCount val="64"/>
                <c:pt idx="0">
                  <c:v>45662</c:v>
                </c:pt>
                <c:pt idx="1">
                  <c:v>45669</c:v>
                </c:pt>
                <c:pt idx="2">
                  <c:v>45676</c:v>
                </c:pt>
                <c:pt idx="3">
                  <c:v>45683</c:v>
                </c:pt>
                <c:pt idx="4">
                  <c:v>45690</c:v>
                </c:pt>
                <c:pt idx="5">
                  <c:v>45697</c:v>
                </c:pt>
                <c:pt idx="6">
                  <c:v>45704</c:v>
                </c:pt>
                <c:pt idx="7">
                  <c:v>45711</c:v>
                </c:pt>
                <c:pt idx="8">
                  <c:v>45718</c:v>
                </c:pt>
                <c:pt idx="9">
                  <c:v>45725</c:v>
                </c:pt>
                <c:pt idx="10">
                  <c:v>45732</c:v>
                </c:pt>
                <c:pt idx="11">
                  <c:v>45739</c:v>
                </c:pt>
                <c:pt idx="12">
                  <c:v>45746</c:v>
                </c:pt>
                <c:pt idx="13">
                  <c:v>45753</c:v>
                </c:pt>
                <c:pt idx="14">
                  <c:v>45760</c:v>
                </c:pt>
                <c:pt idx="15">
                  <c:v>45767</c:v>
                </c:pt>
                <c:pt idx="16">
                  <c:v>45774</c:v>
                </c:pt>
                <c:pt idx="17">
                  <c:v>45781</c:v>
                </c:pt>
                <c:pt idx="18">
                  <c:v>45788</c:v>
                </c:pt>
                <c:pt idx="19">
                  <c:v>45795</c:v>
                </c:pt>
                <c:pt idx="20">
                  <c:v>45802</c:v>
                </c:pt>
                <c:pt idx="21">
                  <c:v>45809</c:v>
                </c:pt>
                <c:pt idx="22">
                  <c:v>45816</c:v>
                </c:pt>
                <c:pt idx="23">
                  <c:v>45823</c:v>
                </c:pt>
                <c:pt idx="24">
                  <c:v>45830</c:v>
                </c:pt>
                <c:pt idx="25">
                  <c:v>45837</c:v>
                </c:pt>
                <c:pt idx="26">
                  <c:v>45844</c:v>
                </c:pt>
                <c:pt idx="27">
                  <c:v>45851</c:v>
                </c:pt>
                <c:pt idx="28">
                  <c:v>45858</c:v>
                </c:pt>
                <c:pt idx="29">
                  <c:v>45865</c:v>
                </c:pt>
                <c:pt idx="30">
                  <c:v>45872</c:v>
                </c:pt>
                <c:pt idx="31">
                  <c:v>45879</c:v>
                </c:pt>
                <c:pt idx="32">
                  <c:v>45886</c:v>
                </c:pt>
                <c:pt idx="33">
                  <c:v>45893</c:v>
                </c:pt>
                <c:pt idx="34">
                  <c:v>45900</c:v>
                </c:pt>
                <c:pt idx="35">
                  <c:v>45907</c:v>
                </c:pt>
                <c:pt idx="36">
                  <c:v>45914</c:v>
                </c:pt>
                <c:pt idx="37">
                  <c:v>45921</c:v>
                </c:pt>
                <c:pt idx="38">
                  <c:v>45928</c:v>
                </c:pt>
                <c:pt idx="39">
                  <c:v>45935</c:v>
                </c:pt>
                <c:pt idx="40">
                  <c:v>45942</c:v>
                </c:pt>
                <c:pt idx="41">
                  <c:v>45949</c:v>
                </c:pt>
                <c:pt idx="42">
                  <c:v>45956</c:v>
                </c:pt>
                <c:pt idx="43">
                  <c:v>45963</c:v>
                </c:pt>
                <c:pt idx="44">
                  <c:v>45970</c:v>
                </c:pt>
                <c:pt idx="45">
                  <c:v>45977</c:v>
                </c:pt>
                <c:pt idx="46">
                  <c:v>45984</c:v>
                </c:pt>
                <c:pt idx="47">
                  <c:v>45991</c:v>
                </c:pt>
                <c:pt idx="48">
                  <c:v>45998</c:v>
                </c:pt>
                <c:pt idx="49">
                  <c:v>46005</c:v>
                </c:pt>
                <c:pt idx="50">
                  <c:v>46012</c:v>
                </c:pt>
                <c:pt idx="51">
                  <c:v>46019</c:v>
                </c:pt>
                <c:pt idx="52">
                  <c:v>46026</c:v>
                </c:pt>
                <c:pt idx="53">
                  <c:v>46033</c:v>
                </c:pt>
                <c:pt idx="54">
                  <c:v>46040</c:v>
                </c:pt>
                <c:pt idx="55">
                  <c:v>46047</c:v>
                </c:pt>
                <c:pt idx="56">
                  <c:v>46054</c:v>
                </c:pt>
                <c:pt idx="57">
                  <c:v>46061</c:v>
                </c:pt>
                <c:pt idx="58">
                  <c:v>46068</c:v>
                </c:pt>
                <c:pt idx="59">
                  <c:v>46075</c:v>
                </c:pt>
                <c:pt idx="60">
                  <c:v>46082</c:v>
                </c:pt>
                <c:pt idx="61">
                  <c:v>46089</c:v>
                </c:pt>
                <c:pt idx="62">
                  <c:v>46096</c:v>
                </c:pt>
                <c:pt idx="63">
                  <c:v>46103</c:v>
                </c:pt>
              </c:numCache>
            </c:numRef>
          </c:cat>
          <c:val>
            <c:numRef>
              <c:f>Forecast!$F$2:$F$65</c:f>
              <c:numCache>
                <c:formatCode>General</c:formatCode>
                <c:ptCount val="64"/>
                <c:pt idx="4" formatCode="\$#,##0">
                  <c:v>20513.412499999999</c:v>
                </c:pt>
                <c:pt idx="5" formatCode="\$#,##0">
                  <c:v>24649.075000000001</c:v>
                </c:pt>
                <c:pt idx="6" formatCode="\$#,##0">
                  <c:v>27103</c:v>
                </c:pt>
                <c:pt idx="7" formatCode="\$#,##0">
                  <c:v>29240.915000000001</c:v>
                </c:pt>
                <c:pt idx="8" formatCode="\$#,##0">
                  <c:v>31450.722499999996</c:v>
                </c:pt>
                <c:pt idx="9" formatCode="\$#,##0">
                  <c:v>35983.107499999998</c:v>
                </c:pt>
                <c:pt idx="10" formatCode="\$#,##0">
                  <c:v>40397.327499999999</c:v>
                </c:pt>
                <c:pt idx="11" formatCode="\$#,##0">
                  <c:v>41663.217499999999</c:v>
                </c:pt>
                <c:pt idx="12" formatCode="\$#,##0">
                  <c:v>43428.59</c:v>
                </c:pt>
                <c:pt idx="13" formatCode="\$#,##0">
                  <c:v>43616.732499999998</c:v>
                </c:pt>
                <c:pt idx="14" formatCode="\$#,##0">
                  <c:v>44457.747500000005</c:v>
                </c:pt>
                <c:pt idx="15" formatCode="\$#,##0">
                  <c:v>45247.842499999999</c:v>
                </c:pt>
                <c:pt idx="16" formatCode="\$#,##0">
                  <c:v>48337.16</c:v>
                </c:pt>
                <c:pt idx="17" formatCode="\$#,##0">
                  <c:v>50032.602500000001</c:v>
                </c:pt>
                <c:pt idx="18" formatCode="\$#,##0">
                  <c:v>50316.595000000001</c:v>
                </c:pt>
                <c:pt idx="19" formatCode="\$#,##0">
                  <c:v>54287.667500000003</c:v>
                </c:pt>
                <c:pt idx="20" formatCode="\$#,##0">
                  <c:v>52874.277500000004</c:v>
                </c:pt>
                <c:pt idx="21" formatCode="\$#,##0">
                  <c:v>54244.607499999998</c:v>
                </c:pt>
                <c:pt idx="22" formatCode="\$#,##0">
                  <c:v>56041.572500000002</c:v>
                </c:pt>
                <c:pt idx="23" formatCode="\$#,##0">
                  <c:v>56684.537499999999</c:v>
                </c:pt>
                <c:pt idx="24" formatCode="\$#,##0">
                  <c:v>58291.407500000001</c:v>
                </c:pt>
                <c:pt idx="25" formatCode="\$#,##0">
                  <c:v>58731.414999999994</c:v>
                </c:pt>
                <c:pt idx="26" formatCode="\$#,##0">
                  <c:v>58414.400000000001</c:v>
                </c:pt>
                <c:pt idx="27" formatCode="\$#,##0">
                  <c:v>56343.597499999996</c:v>
                </c:pt>
                <c:pt idx="28" formatCode="\$#,##0">
                  <c:v>55800.412499999999</c:v>
                </c:pt>
                <c:pt idx="29" formatCode="\$#,##0">
                  <c:v>55860.572499999995</c:v>
                </c:pt>
                <c:pt idx="30" formatCode="\$#,##0">
                  <c:v>55463.07</c:v>
                </c:pt>
                <c:pt idx="31" formatCode="\$#,##0">
                  <c:v>56914.555</c:v>
                </c:pt>
                <c:pt idx="32" formatCode="\$#,##0">
                  <c:v>57471.985000000001</c:v>
                </c:pt>
                <c:pt idx="33" formatCode="\$#,##0">
                  <c:v>57983.142500000002</c:v>
                </c:pt>
                <c:pt idx="34" formatCode="\$#,##0">
                  <c:v>57221.092499999999</c:v>
                </c:pt>
                <c:pt idx="35" formatCode="\$#,##0">
                  <c:v>56999.89</c:v>
                </c:pt>
                <c:pt idx="36" formatCode="\$#,##0">
                  <c:v>57362.547500000001</c:v>
                </c:pt>
                <c:pt idx="37" formatCode="\$#,##0">
                  <c:v>55432.897499999999</c:v>
                </c:pt>
                <c:pt idx="38" formatCode="\$#,##0">
                  <c:v>56330.917500000003</c:v>
                </c:pt>
                <c:pt idx="39" formatCode="\$#,##0">
                  <c:v>54987.022499999999</c:v>
                </c:pt>
                <c:pt idx="40" formatCode="\$#,##0">
                  <c:v>52466.642500000002</c:v>
                </c:pt>
                <c:pt idx="41" formatCode="\$#,##0">
                  <c:v>52492.805</c:v>
                </c:pt>
                <c:pt idx="42" formatCode="\$#,##0">
                  <c:v>53449.432500000003</c:v>
                </c:pt>
                <c:pt idx="43" formatCode="\$#,##0">
                  <c:v>54738.67</c:v>
                </c:pt>
                <c:pt idx="44" formatCode="\$#,##0">
                  <c:v>55526.9925</c:v>
                </c:pt>
                <c:pt idx="45" formatCode="\$#,##0">
                  <c:v>56211.81</c:v>
                </c:pt>
                <c:pt idx="46" formatCode="\$#,##0">
                  <c:v>54355.382499999992</c:v>
                </c:pt>
                <c:pt idx="47" formatCode="\$#,##0">
                  <c:v>54202.75</c:v>
                </c:pt>
                <c:pt idx="48" formatCode="\$#,##0">
                  <c:v>55968.817500000005</c:v>
                </c:pt>
                <c:pt idx="49" formatCode="\$#,##0">
                  <c:v>55290.417499999996</c:v>
                </c:pt>
                <c:pt idx="50" formatCode="\$#,##0">
                  <c:v>56036.907500000008</c:v>
                </c:pt>
                <c:pt idx="51" formatCode="\$#,##0">
                  <c:v>53971.51</c:v>
                </c:pt>
                <c:pt idx="52" formatCode="\$#,##0">
                  <c:v>51634.667499999996</c:v>
                </c:pt>
                <c:pt idx="53" formatCode="\$#,##0">
                  <c:v>47780.307499999995</c:v>
                </c:pt>
                <c:pt idx="54" formatCode="\$#,##0">
                  <c:v>42206.0625</c:v>
                </c:pt>
                <c:pt idx="55" formatCode="\$#,##0">
                  <c:v>37772.269999999997</c:v>
                </c:pt>
                <c:pt idx="56" formatCode="\$#,##0">
                  <c:v>32514.440000000002</c:v>
                </c:pt>
                <c:pt idx="57" formatCode="\$#,##0">
                  <c:v>29998.837499999998</c:v>
                </c:pt>
                <c:pt idx="58" formatCode="\$#,##0">
                  <c:v>26594.28</c:v>
                </c:pt>
                <c:pt idx="59" formatCode="\$#,##0">
                  <c:v>23620.510000000002</c:v>
                </c:pt>
                <c:pt idx="60" formatCode="\$#,##0">
                  <c:v>20551.412499999999</c:v>
                </c:pt>
                <c:pt idx="61" formatCode="\$#,##0">
                  <c:v>17075.14</c:v>
                </c:pt>
                <c:pt idx="62" formatCode="\$#,##0">
                  <c:v>14822.155000000001</c:v>
                </c:pt>
                <c:pt idx="63" formatCode="\$#,##0">
                  <c:v>13397.2075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6C-4A65-9B6B-ABFD0C4E01F0}"/>
            </c:ext>
          </c:extLst>
        </c:ser>
        <c:ser>
          <c:idx val="2"/>
          <c:order val="2"/>
          <c:tx>
            <c:strRef>
              <c:f>Forecast!$G$1</c:f>
              <c:strCache>
                <c:ptCount val="1"/>
                <c:pt idx="0">
                  <c:v>ES Fit ($)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Forecast!$A$2:$A$65</c:f>
              <c:numCache>
                <c:formatCode>yyyy\-mm\-dd</c:formatCode>
                <c:ptCount val="64"/>
                <c:pt idx="0">
                  <c:v>45662</c:v>
                </c:pt>
                <c:pt idx="1">
                  <c:v>45669</c:v>
                </c:pt>
                <c:pt idx="2">
                  <c:v>45676</c:v>
                </c:pt>
                <c:pt idx="3">
                  <c:v>45683</c:v>
                </c:pt>
                <c:pt idx="4">
                  <c:v>45690</c:v>
                </c:pt>
                <c:pt idx="5">
                  <c:v>45697</c:v>
                </c:pt>
                <c:pt idx="6">
                  <c:v>45704</c:v>
                </c:pt>
                <c:pt idx="7">
                  <c:v>45711</c:v>
                </c:pt>
                <c:pt idx="8">
                  <c:v>45718</c:v>
                </c:pt>
                <c:pt idx="9">
                  <c:v>45725</c:v>
                </c:pt>
                <c:pt idx="10">
                  <c:v>45732</c:v>
                </c:pt>
                <c:pt idx="11">
                  <c:v>45739</c:v>
                </c:pt>
                <c:pt idx="12">
                  <c:v>45746</c:v>
                </c:pt>
                <c:pt idx="13">
                  <c:v>45753</c:v>
                </c:pt>
                <c:pt idx="14">
                  <c:v>45760</c:v>
                </c:pt>
                <c:pt idx="15">
                  <c:v>45767</c:v>
                </c:pt>
                <c:pt idx="16">
                  <c:v>45774</c:v>
                </c:pt>
                <c:pt idx="17">
                  <c:v>45781</c:v>
                </c:pt>
                <c:pt idx="18">
                  <c:v>45788</c:v>
                </c:pt>
                <c:pt idx="19">
                  <c:v>45795</c:v>
                </c:pt>
                <c:pt idx="20">
                  <c:v>45802</c:v>
                </c:pt>
                <c:pt idx="21">
                  <c:v>45809</c:v>
                </c:pt>
                <c:pt idx="22">
                  <c:v>45816</c:v>
                </c:pt>
                <c:pt idx="23">
                  <c:v>45823</c:v>
                </c:pt>
                <c:pt idx="24">
                  <c:v>45830</c:v>
                </c:pt>
                <c:pt idx="25">
                  <c:v>45837</c:v>
                </c:pt>
                <c:pt idx="26">
                  <c:v>45844</c:v>
                </c:pt>
                <c:pt idx="27">
                  <c:v>45851</c:v>
                </c:pt>
                <c:pt idx="28">
                  <c:v>45858</c:v>
                </c:pt>
                <c:pt idx="29">
                  <c:v>45865</c:v>
                </c:pt>
                <c:pt idx="30">
                  <c:v>45872</c:v>
                </c:pt>
                <c:pt idx="31">
                  <c:v>45879</c:v>
                </c:pt>
                <c:pt idx="32">
                  <c:v>45886</c:v>
                </c:pt>
                <c:pt idx="33">
                  <c:v>45893</c:v>
                </c:pt>
                <c:pt idx="34">
                  <c:v>45900</c:v>
                </c:pt>
                <c:pt idx="35">
                  <c:v>45907</c:v>
                </c:pt>
                <c:pt idx="36">
                  <c:v>45914</c:v>
                </c:pt>
                <c:pt idx="37">
                  <c:v>45921</c:v>
                </c:pt>
                <c:pt idx="38">
                  <c:v>45928</c:v>
                </c:pt>
                <c:pt idx="39">
                  <c:v>45935</c:v>
                </c:pt>
                <c:pt idx="40">
                  <c:v>45942</c:v>
                </c:pt>
                <c:pt idx="41">
                  <c:v>45949</c:v>
                </c:pt>
                <c:pt idx="42">
                  <c:v>45956</c:v>
                </c:pt>
                <c:pt idx="43">
                  <c:v>45963</c:v>
                </c:pt>
                <c:pt idx="44">
                  <c:v>45970</c:v>
                </c:pt>
                <c:pt idx="45">
                  <c:v>45977</c:v>
                </c:pt>
                <c:pt idx="46">
                  <c:v>45984</c:v>
                </c:pt>
                <c:pt idx="47">
                  <c:v>45991</c:v>
                </c:pt>
                <c:pt idx="48">
                  <c:v>45998</c:v>
                </c:pt>
                <c:pt idx="49">
                  <c:v>46005</c:v>
                </c:pt>
                <c:pt idx="50">
                  <c:v>46012</c:v>
                </c:pt>
                <c:pt idx="51">
                  <c:v>46019</c:v>
                </c:pt>
                <c:pt idx="52">
                  <c:v>46026</c:v>
                </c:pt>
                <c:pt idx="53">
                  <c:v>46033</c:v>
                </c:pt>
                <c:pt idx="54">
                  <c:v>46040</c:v>
                </c:pt>
                <c:pt idx="55">
                  <c:v>46047</c:v>
                </c:pt>
                <c:pt idx="56">
                  <c:v>46054</c:v>
                </c:pt>
                <c:pt idx="57">
                  <c:v>46061</c:v>
                </c:pt>
                <c:pt idx="58">
                  <c:v>46068</c:v>
                </c:pt>
                <c:pt idx="59">
                  <c:v>46075</c:v>
                </c:pt>
                <c:pt idx="60">
                  <c:v>46082</c:v>
                </c:pt>
                <c:pt idx="61">
                  <c:v>46089</c:v>
                </c:pt>
                <c:pt idx="62">
                  <c:v>46096</c:v>
                </c:pt>
                <c:pt idx="63">
                  <c:v>46103</c:v>
                </c:pt>
              </c:numCache>
            </c:numRef>
          </c:cat>
          <c:val>
            <c:numRef>
              <c:f>Forecast!$G$2:$G$65</c:f>
              <c:numCache>
                <c:formatCode>\$#,##0</c:formatCode>
                <c:ptCount val="64"/>
                <c:pt idx="0">
                  <c:v>7812.93</c:v>
                </c:pt>
                <c:pt idx="1">
                  <c:v>7812.9299999999994</c:v>
                </c:pt>
                <c:pt idx="2">
                  <c:v>11779.811999999998</c:v>
                </c:pt>
                <c:pt idx="3">
                  <c:v>16036.472399999997</c:v>
                </c:pt>
                <c:pt idx="4">
                  <c:v>19396.381679999999</c:v>
                </c:pt>
                <c:pt idx="5">
                  <c:v>20884.141175999997</c:v>
                </c:pt>
                <c:pt idx="6">
                  <c:v>23874.369823199995</c:v>
                </c:pt>
                <c:pt idx="7">
                  <c:v>27068.160876239996</c:v>
                </c:pt>
                <c:pt idx="8">
                  <c:v>29770.332613367995</c:v>
                </c:pt>
                <c:pt idx="9">
                  <c:v>33584.768829357592</c:v>
                </c:pt>
                <c:pt idx="10">
                  <c:v>38061.873180550312</c:v>
                </c:pt>
                <c:pt idx="11">
                  <c:v>38518.481226385215</c:v>
                </c:pt>
                <c:pt idx="12">
                  <c:v>39904.003858469645</c:v>
                </c:pt>
                <c:pt idx="13">
                  <c:v>40904.109700928748</c:v>
                </c:pt>
                <c:pt idx="14">
                  <c:v>44194.629790650128</c:v>
                </c:pt>
                <c:pt idx="15">
                  <c:v>43759.524853455092</c:v>
                </c:pt>
                <c:pt idx="16">
                  <c:v>47279.915397418561</c:v>
                </c:pt>
                <c:pt idx="17">
                  <c:v>48101.778778192995</c:v>
                </c:pt>
                <c:pt idx="18">
                  <c:v>49573.789144735099</c:v>
                </c:pt>
                <c:pt idx="19">
                  <c:v>52290.223401314564</c:v>
                </c:pt>
                <c:pt idx="20">
                  <c:v>51555.336380920191</c:v>
                </c:pt>
                <c:pt idx="21">
                  <c:v>52738.969466644136</c:v>
                </c:pt>
                <c:pt idx="22">
                  <c:v>54976.180626650894</c:v>
                </c:pt>
                <c:pt idx="23">
                  <c:v>56843.455438655626</c:v>
                </c:pt>
                <c:pt idx="24">
                  <c:v>56670.842807058936</c:v>
                </c:pt>
                <c:pt idx="25">
                  <c:v>56847.832964941248</c:v>
                </c:pt>
                <c:pt idx="26">
                  <c:v>57471.967075458873</c:v>
                </c:pt>
                <c:pt idx="27">
                  <c:v>56105.542952821204</c:v>
                </c:pt>
                <c:pt idx="28">
                  <c:v>55502.482066974837</c:v>
                </c:pt>
                <c:pt idx="29">
                  <c:v>56102.172446882381</c:v>
                </c:pt>
                <c:pt idx="30">
                  <c:v>56473.001712817662</c:v>
                </c:pt>
                <c:pt idx="31">
                  <c:v>57148.049198972367</c:v>
                </c:pt>
                <c:pt idx="32">
                  <c:v>56901.15243928066</c:v>
                </c:pt>
                <c:pt idx="33">
                  <c:v>57694.630707496457</c:v>
                </c:pt>
                <c:pt idx="34">
                  <c:v>56673.262495247516</c:v>
                </c:pt>
                <c:pt idx="35">
                  <c:v>57022.788746673257</c:v>
                </c:pt>
                <c:pt idx="36">
                  <c:v>57248.659122671277</c:v>
                </c:pt>
                <c:pt idx="37">
                  <c:v>55622.305385869891</c:v>
                </c:pt>
                <c:pt idx="38">
                  <c:v>56300.258770108921</c:v>
                </c:pt>
                <c:pt idx="39">
                  <c:v>55149.012139076243</c:v>
                </c:pt>
                <c:pt idx="40">
                  <c:v>52912.559497353366</c:v>
                </c:pt>
                <c:pt idx="41">
                  <c:v>52618.430648147347</c:v>
                </c:pt>
                <c:pt idx="42">
                  <c:v>55345.499453703145</c:v>
                </c:pt>
                <c:pt idx="43">
                  <c:v>56027.765617592202</c:v>
                </c:pt>
                <c:pt idx="44">
                  <c:v>54473.673932314538</c:v>
                </c:pt>
                <c:pt idx="45">
                  <c:v>54532.991752620175</c:v>
                </c:pt>
                <c:pt idx="46">
                  <c:v>54457.979226834112</c:v>
                </c:pt>
                <c:pt idx="47">
                  <c:v>55223.342458783882</c:v>
                </c:pt>
                <c:pt idx="48">
                  <c:v>56029.858721148717</c:v>
                </c:pt>
                <c:pt idx="49">
                  <c:v>54808.241104804096</c:v>
                </c:pt>
                <c:pt idx="50">
                  <c:v>55546.441773362865</c:v>
                </c:pt>
                <c:pt idx="51">
                  <c:v>53506.789241354003</c:v>
                </c:pt>
                <c:pt idx="52">
                  <c:v>52024.060468947799</c:v>
                </c:pt>
                <c:pt idx="53">
                  <c:v>47378.950328263454</c:v>
                </c:pt>
                <c:pt idx="54">
                  <c:v>43656.844229784416</c:v>
                </c:pt>
                <c:pt idx="55">
                  <c:v>39863.519960849088</c:v>
                </c:pt>
                <c:pt idx="56">
                  <c:v>36164.37597259436</c:v>
                </c:pt>
                <c:pt idx="57">
                  <c:v>33258.448180816049</c:v>
                </c:pt>
                <c:pt idx="58">
                  <c:v>29687.023726571235</c:v>
                </c:pt>
                <c:pt idx="59">
                  <c:v>26516.12160859986</c:v>
                </c:pt>
                <c:pt idx="60">
                  <c:v>23138.280126019901</c:v>
                </c:pt>
                <c:pt idx="61">
                  <c:v>19968.654088213931</c:v>
                </c:pt>
                <c:pt idx="62">
                  <c:v>17680.585861749751</c:v>
                </c:pt>
                <c:pt idx="63">
                  <c:v>16401.678103224825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A6C-4A65-9B6B-ABFD0C4E01F0}"/>
            </c:ext>
          </c:extLst>
        </c:ser>
        <c:ser>
          <c:idx val="3"/>
          <c:order val="3"/>
          <c:tx>
            <c:strRef>
              <c:f>Forecast!$J$1</c:f>
              <c:strCache>
                <c:ptCount val="1"/>
                <c:pt idx="0">
                  <c:v>Holt Fit ($)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Forecast!$A$2:$A$65</c:f>
              <c:numCache>
                <c:formatCode>yyyy\-mm\-dd</c:formatCode>
                <c:ptCount val="64"/>
                <c:pt idx="0">
                  <c:v>45662</c:v>
                </c:pt>
                <c:pt idx="1">
                  <c:v>45669</c:v>
                </c:pt>
                <c:pt idx="2">
                  <c:v>45676</c:v>
                </c:pt>
                <c:pt idx="3">
                  <c:v>45683</c:v>
                </c:pt>
                <c:pt idx="4">
                  <c:v>45690</c:v>
                </c:pt>
                <c:pt idx="5">
                  <c:v>45697</c:v>
                </c:pt>
                <c:pt idx="6">
                  <c:v>45704</c:v>
                </c:pt>
                <c:pt idx="7">
                  <c:v>45711</c:v>
                </c:pt>
                <c:pt idx="8">
                  <c:v>45718</c:v>
                </c:pt>
                <c:pt idx="9">
                  <c:v>45725</c:v>
                </c:pt>
                <c:pt idx="10">
                  <c:v>45732</c:v>
                </c:pt>
                <c:pt idx="11">
                  <c:v>45739</c:v>
                </c:pt>
                <c:pt idx="12">
                  <c:v>45746</c:v>
                </c:pt>
                <c:pt idx="13">
                  <c:v>45753</c:v>
                </c:pt>
                <c:pt idx="14">
                  <c:v>45760</c:v>
                </c:pt>
                <c:pt idx="15">
                  <c:v>45767</c:v>
                </c:pt>
                <c:pt idx="16">
                  <c:v>45774</c:v>
                </c:pt>
                <c:pt idx="17">
                  <c:v>45781</c:v>
                </c:pt>
                <c:pt idx="18">
                  <c:v>45788</c:v>
                </c:pt>
                <c:pt idx="19">
                  <c:v>45795</c:v>
                </c:pt>
                <c:pt idx="20">
                  <c:v>45802</c:v>
                </c:pt>
                <c:pt idx="21">
                  <c:v>45809</c:v>
                </c:pt>
                <c:pt idx="22">
                  <c:v>45816</c:v>
                </c:pt>
                <c:pt idx="23">
                  <c:v>45823</c:v>
                </c:pt>
                <c:pt idx="24">
                  <c:v>45830</c:v>
                </c:pt>
                <c:pt idx="25">
                  <c:v>45837</c:v>
                </c:pt>
                <c:pt idx="26">
                  <c:v>45844</c:v>
                </c:pt>
                <c:pt idx="27">
                  <c:v>45851</c:v>
                </c:pt>
                <c:pt idx="28">
                  <c:v>45858</c:v>
                </c:pt>
                <c:pt idx="29">
                  <c:v>45865</c:v>
                </c:pt>
                <c:pt idx="30">
                  <c:v>45872</c:v>
                </c:pt>
                <c:pt idx="31">
                  <c:v>45879</c:v>
                </c:pt>
                <c:pt idx="32">
                  <c:v>45886</c:v>
                </c:pt>
                <c:pt idx="33">
                  <c:v>45893</c:v>
                </c:pt>
                <c:pt idx="34">
                  <c:v>45900</c:v>
                </c:pt>
                <c:pt idx="35">
                  <c:v>45907</c:v>
                </c:pt>
                <c:pt idx="36">
                  <c:v>45914</c:v>
                </c:pt>
                <c:pt idx="37">
                  <c:v>45921</c:v>
                </c:pt>
                <c:pt idx="38">
                  <c:v>45928</c:v>
                </c:pt>
                <c:pt idx="39">
                  <c:v>45935</c:v>
                </c:pt>
                <c:pt idx="40">
                  <c:v>45942</c:v>
                </c:pt>
                <c:pt idx="41">
                  <c:v>45949</c:v>
                </c:pt>
                <c:pt idx="42">
                  <c:v>45956</c:v>
                </c:pt>
                <c:pt idx="43">
                  <c:v>45963</c:v>
                </c:pt>
                <c:pt idx="44">
                  <c:v>45970</c:v>
                </c:pt>
                <c:pt idx="45">
                  <c:v>45977</c:v>
                </c:pt>
                <c:pt idx="46">
                  <c:v>45984</c:v>
                </c:pt>
                <c:pt idx="47">
                  <c:v>45991</c:v>
                </c:pt>
                <c:pt idx="48">
                  <c:v>45998</c:v>
                </c:pt>
                <c:pt idx="49">
                  <c:v>46005</c:v>
                </c:pt>
                <c:pt idx="50">
                  <c:v>46012</c:v>
                </c:pt>
                <c:pt idx="51">
                  <c:v>46019</c:v>
                </c:pt>
                <c:pt idx="52">
                  <c:v>46026</c:v>
                </c:pt>
                <c:pt idx="53">
                  <c:v>46033</c:v>
                </c:pt>
                <c:pt idx="54">
                  <c:v>46040</c:v>
                </c:pt>
                <c:pt idx="55">
                  <c:v>46047</c:v>
                </c:pt>
                <c:pt idx="56">
                  <c:v>46054</c:v>
                </c:pt>
                <c:pt idx="57">
                  <c:v>46061</c:v>
                </c:pt>
                <c:pt idx="58">
                  <c:v>46068</c:v>
                </c:pt>
                <c:pt idx="59">
                  <c:v>46075</c:v>
                </c:pt>
                <c:pt idx="60">
                  <c:v>46082</c:v>
                </c:pt>
                <c:pt idx="61">
                  <c:v>46089</c:v>
                </c:pt>
                <c:pt idx="62">
                  <c:v>46096</c:v>
                </c:pt>
                <c:pt idx="63">
                  <c:v>46103</c:v>
                </c:pt>
              </c:numCache>
            </c:numRef>
          </c:cat>
          <c:val>
            <c:numRef>
              <c:f>Forecast!$J$2:$J$65</c:f>
              <c:numCache>
                <c:formatCode>\$#,##0</c:formatCode>
                <c:ptCount val="64"/>
                <c:pt idx="1">
                  <c:v>21035.87</c:v>
                </c:pt>
                <c:pt idx="2">
                  <c:v>34258.81</c:v>
                </c:pt>
                <c:pt idx="3">
                  <c:v>44497.303199999995</c:v>
                </c:pt>
                <c:pt idx="4">
                  <c:v>51008.827447999996</c:v>
                </c:pt>
                <c:pt idx="5">
                  <c:v>53103.522574719987</c:v>
                </c:pt>
                <c:pt idx="6">
                  <c:v>55183.489008940785</c:v>
                </c:pt>
                <c:pt idx="7">
                  <c:v>56500.307572358899</c:v>
                </c:pt>
                <c:pt idx="8">
                  <c:v>56663.104112410045</c:v>
                </c:pt>
                <c:pt idx="9">
                  <c:v>57849.298643701244</c:v>
                </c:pt>
                <c:pt idx="10">
                  <c:v>59926.182896983002</c:v>
                </c:pt>
                <c:pt idx="11">
                  <c:v>57482.099900461253</c:v>
                </c:pt>
                <c:pt idx="12">
                  <c:v>55976.426208868361</c:v>
                </c:pt>
                <c:pt idx="13">
                  <c:v>54188.370452221236</c:v>
                </c:pt>
                <c:pt idx="14">
                  <c:v>55388.22579543497</c:v>
                </c:pt>
                <c:pt idx="15">
                  <c:v>52731.018787958485</c:v>
                </c:pt>
                <c:pt idx="16">
                  <c:v>54861.726355447434</c:v>
                </c:pt>
                <c:pt idx="17">
                  <c:v>54420.275671362848</c:v>
                </c:pt>
                <c:pt idx="18">
                  <c:v>54923.258452221875</c:v>
                </c:pt>
                <c:pt idx="19">
                  <c:v>57183.692091689882</c:v>
                </c:pt>
                <c:pt idx="20">
                  <c:v>55689.019113816095</c:v>
                </c:pt>
                <c:pt idx="21">
                  <c:v>56329.507682475472</c:v>
                </c:pt>
                <c:pt idx="22">
                  <c:v>58418.527619588502</c:v>
                </c:pt>
                <c:pt idx="23">
                  <c:v>60348.982718392319</c:v>
                </c:pt>
                <c:pt idx="24">
                  <c:v>59975.742124451448</c:v>
                </c:pt>
                <c:pt idx="25">
                  <c:v>59849.396781225747</c:v>
                </c:pt>
                <c:pt idx="26">
                  <c:v>60205.92903409421</c:v>
                </c:pt>
                <c:pt idx="27">
                  <c:v>58214.861069056482</c:v>
                </c:pt>
                <c:pt idx="28">
                  <c:v>56927.378229386683</c:v>
                </c:pt>
                <c:pt idx="29">
                  <c:v>57082.417547854624</c:v>
                </c:pt>
                <c:pt idx="30">
                  <c:v>57157.342217910904</c:v>
                </c:pt>
                <c:pt idx="31">
                  <c:v>57719.205553875647</c:v>
                </c:pt>
                <c:pt idx="32">
                  <c:v>57309.431155818434</c:v>
                </c:pt>
                <c:pt idx="33">
                  <c:v>58123.094007829277</c:v>
                </c:pt>
                <c:pt idx="34">
                  <c:v>56885.873563767113</c:v>
                </c:pt>
                <c:pt idx="35">
                  <c:v>57141.451839097565</c:v>
                </c:pt>
                <c:pt idx="36">
                  <c:v>57339.612921483029</c:v>
                </c:pt>
                <c:pt idx="37">
                  <c:v>55363.134703863871</c:v>
                </c:pt>
                <c:pt idx="38">
                  <c:v>55947.141869298634</c:v>
                </c:pt>
                <c:pt idx="39">
                  <c:v>54521.070572945042</c:v>
                </c:pt>
                <c:pt idx="40">
                  <c:v>51682.626631120824</c:v>
                </c:pt>
                <c:pt idx="41">
                  <c:v>50982.074073976619</c:v>
                </c:pt>
                <c:pt idx="42">
                  <c:v>54068.241439537094</c:v>
                </c:pt>
                <c:pt idx="43">
                  <c:v>55214.965309057181</c:v>
                </c:pt>
                <c:pt idx="44">
                  <c:v>53723.943699177813</c:v>
                </c:pt>
                <c:pt idx="45">
                  <c:v>53884.257950311592</c:v>
                </c:pt>
                <c:pt idx="46">
                  <c:v>53903.864449086534</c:v>
                </c:pt>
                <c:pt idx="47">
                  <c:v>54921.78053128381</c:v>
                </c:pt>
                <c:pt idx="48">
                  <c:v>56084.480756944868</c:v>
                </c:pt>
                <c:pt idx="49">
                  <c:v>54864.591069490918</c:v>
                </c:pt>
                <c:pt idx="50">
                  <c:v>55748.26042410369</c:v>
                </c:pt>
                <c:pt idx="51">
                  <c:v>53390.396346886417</c:v>
                </c:pt>
                <c:pt idx="52">
                  <c:v>51395.357312021129</c:v>
                </c:pt>
                <c:pt idx="53">
                  <c:v>45500.330148894172</c:v>
                </c:pt>
                <c:pt idx="54">
                  <c:v>40271.578125771644</c:v>
                </c:pt>
                <c:pt idx="55">
                  <c:v>34868.052822039579</c:v>
                </c:pt>
                <c:pt idx="56">
                  <c:v>29601.667340104759</c:v>
                </c:pt>
                <c:pt idx="57">
                  <c:v>25411.247462344101</c:v>
                </c:pt>
                <c:pt idx="58">
                  <c:v>20697.225700170991</c:v>
                </c:pt>
                <c:pt idx="59">
                  <c:v>16631.712924639556</c:v>
                </c:pt>
                <c:pt idx="60">
                  <c:v>12545.140206289178</c:v>
                </c:pt>
                <c:pt idx="61">
                  <c:v>8881.0654910665617</c:v>
                </c:pt>
                <c:pt idx="62">
                  <c:v>6454.5248609467362</c:v>
                </c:pt>
                <c:pt idx="63">
                  <c:v>5496.4685282060545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A6C-4A65-9B6B-ABFD0C4E0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847694"/>
        <c:axId val="40799472"/>
      </c:lineChart>
      <c:dateAx>
        <c:axId val="188476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799472"/>
        <c:crosses val="autoZero"/>
        <c:auto val="1"/>
        <c:lblOffset val="100"/>
        <c:baseTimeUnit val="days"/>
      </c:dateAx>
      <c:valAx>
        <c:axId val="407994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Handle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8476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160560</xdr:rowOff>
    </xdr:from>
    <xdr:to>
      <xdr:col>16</xdr:col>
      <xdr:colOff>518760</xdr:colOff>
      <xdr:row>20</xdr:row>
      <xdr:rowOff>140760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zoomScaleNormal="100" workbookViewId="0"/>
  </sheetViews>
  <sheetFormatPr defaultColWidth="8.6640625" defaultRowHeight="14.4" x14ac:dyDescent="0.3"/>
  <cols>
    <col min="1" max="1" width="128.21875" bestFit="1" customWidth="1"/>
  </cols>
  <sheetData>
    <row r="1" spans="1:1" ht="17.399999999999999" x14ac:dyDescent="0.3">
      <c r="A1" s="1" t="s">
        <v>57</v>
      </c>
    </row>
    <row r="2" spans="1:1" x14ac:dyDescent="0.3">
      <c r="A2" s="2"/>
    </row>
    <row r="3" spans="1:1" x14ac:dyDescent="0.3">
      <c r="A3" s="3" t="s">
        <v>0</v>
      </c>
    </row>
    <row r="4" spans="1:1" x14ac:dyDescent="0.3">
      <c r="A4" s="2" t="s">
        <v>1</v>
      </c>
    </row>
    <row r="5" spans="1:1" x14ac:dyDescent="0.3">
      <c r="A5" s="2" t="s">
        <v>2</v>
      </c>
    </row>
    <row r="6" spans="1:1" x14ac:dyDescent="0.3">
      <c r="A6" s="2" t="s">
        <v>3</v>
      </c>
    </row>
    <row r="7" spans="1:1" x14ac:dyDescent="0.3">
      <c r="A7" s="2"/>
    </row>
    <row r="8" spans="1:1" x14ac:dyDescent="0.3">
      <c r="A8" s="3" t="s">
        <v>4</v>
      </c>
    </row>
    <row r="9" spans="1:1" x14ac:dyDescent="0.3">
      <c r="A9" s="2" t="s">
        <v>5</v>
      </c>
    </row>
    <row r="10" spans="1:1" x14ac:dyDescent="0.3">
      <c r="A10" s="2" t="s">
        <v>6</v>
      </c>
    </row>
    <row r="11" spans="1:1" x14ac:dyDescent="0.3">
      <c r="A11" s="2" t="s">
        <v>7</v>
      </c>
    </row>
    <row r="12" spans="1:1" x14ac:dyDescent="0.3">
      <c r="A12" s="2" t="s">
        <v>8</v>
      </c>
    </row>
    <row r="13" spans="1:1" x14ac:dyDescent="0.3">
      <c r="A13" s="2" t="s">
        <v>9</v>
      </c>
    </row>
    <row r="14" spans="1:1" x14ac:dyDescent="0.3">
      <c r="A14" s="2"/>
    </row>
    <row r="15" spans="1:1" x14ac:dyDescent="0.3">
      <c r="A15" s="3" t="s">
        <v>10</v>
      </c>
    </row>
    <row r="16" spans="1:1" x14ac:dyDescent="0.3">
      <c r="A16" s="2" t="s">
        <v>11</v>
      </c>
    </row>
    <row r="17" spans="1:1" x14ac:dyDescent="0.3">
      <c r="A17" s="2" t="s">
        <v>12</v>
      </c>
    </row>
    <row r="18" spans="1:1" x14ac:dyDescent="0.3">
      <c r="A18" s="2" t="s">
        <v>13</v>
      </c>
    </row>
    <row r="19" spans="1:1" x14ac:dyDescent="0.3">
      <c r="A19" s="2" t="s">
        <v>14</v>
      </c>
    </row>
    <row r="20" spans="1:1" x14ac:dyDescent="0.3">
      <c r="A20" s="2" t="s">
        <v>15</v>
      </c>
    </row>
    <row r="21" spans="1:1" x14ac:dyDescent="0.3">
      <c r="A21" s="2" t="s">
        <v>16</v>
      </c>
    </row>
    <row r="22" spans="1:1" x14ac:dyDescent="0.3">
      <c r="A22" s="2" t="s">
        <v>17</v>
      </c>
    </row>
    <row r="23" spans="1:1" x14ac:dyDescent="0.3">
      <c r="A23" s="2" t="s">
        <v>18</v>
      </c>
    </row>
    <row r="24" spans="1:1" x14ac:dyDescent="0.3">
      <c r="A24" s="2" t="s">
        <v>19</v>
      </c>
    </row>
    <row r="25" spans="1:1" x14ac:dyDescent="0.3">
      <c r="A25" s="2" t="s">
        <v>20</v>
      </c>
    </row>
    <row r="26" spans="1:1" x14ac:dyDescent="0.3">
      <c r="A26" s="2"/>
    </row>
    <row r="27" spans="1:1" x14ac:dyDescent="0.3">
      <c r="A27" s="3" t="s">
        <v>21</v>
      </c>
    </row>
    <row r="28" spans="1:1" x14ac:dyDescent="0.3">
      <c r="A28" s="2" t="s">
        <v>22</v>
      </c>
    </row>
    <row r="29" spans="1:1" x14ac:dyDescent="0.3">
      <c r="A29" s="2"/>
    </row>
    <row r="30" spans="1:1" x14ac:dyDescent="0.3">
      <c r="A30" s="4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zoomScaleNormal="100" workbookViewId="0">
      <pane ySplit="1" topLeftCell="A2" activePane="bottomLeft" state="frozen"/>
      <selection pane="bottomLeft" activeCell="K1" sqref="K1:P1"/>
    </sheetView>
  </sheetViews>
  <sheetFormatPr defaultColWidth="8.6640625" defaultRowHeight="14.4" x14ac:dyDescent="0.3"/>
  <cols>
    <col min="1" max="1" width="12" customWidth="1"/>
    <col min="2" max="2" width="15" customWidth="1"/>
    <col min="3" max="3" width="9" customWidth="1"/>
    <col min="4" max="4" width="12" customWidth="1"/>
    <col min="5" max="5" width="10.21875" bestFit="1" customWidth="1"/>
    <col min="6" max="6" width="12.21875" bestFit="1" customWidth="1"/>
    <col min="7" max="7" width="13" customWidth="1"/>
    <col min="8" max="8" width="12" customWidth="1"/>
    <col min="9" max="9" width="11" customWidth="1"/>
    <col min="10" max="12" width="13" customWidth="1"/>
    <col min="13" max="13" width="14" customWidth="1"/>
    <col min="14" max="16" width="10" customWidth="1"/>
  </cols>
  <sheetData>
    <row r="1" spans="1:16" ht="27.6" x14ac:dyDescent="0.3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</row>
    <row r="2" spans="1:16" x14ac:dyDescent="0.3">
      <c r="A2" s="6">
        <v>45662</v>
      </c>
      <c r="B2" s="7">
        <v>7812.93</v>
      </c>
      <c r="C2" s="8">
        <v>268</v>
      </c>
      <c r="D2" s="8">
        <v>40</v>
      </c>
      <c r="E2" s="7">
        <f t="shared" ref="E2:E33" si="0">B2/D2</f>
        <v>195.32325</v>
      </c>
      <c r="G2" s="7">
        <f>B2</f>
        <v>7812.93</v>
      </c>
      <c r="H2" s="7">
        <f>B2</f>
        <v>7812.93</v>
      </c>
      <c r="I2" s="7">
        <f>B3-B2</f>
        <v>13222.939999999999</v>
      </c>
    </row>
    <row r="3" spans="1:16" x14ac:dyDescent="0.3">
      <c r="A3" s="6">
        <v>45669</v>
      </c>
      <c r="B3" s="7">
        <v>21035.87</v>
      </c>
      <c r="C3" s="8">
        <v>680</v>
      </c>
      <c r="D3" s="8">
        <v>97</v>
      </c>
      <c r="E3" s="7">
        <f t="shared" si="0"/>
        <v>216.86463917525771</v>
      </c>
      <c r="G3" s="7">
        <f>Dashboard!$B$4*B2+(1-Dashboard!$B$4)*G2</f>
        <v>7812.9299999999994</v>
      </c>
      <c r="H3" s="7">
        <f>Dashboard!$B$4*B3+(1-Dashboard!$B$4)*(H2+I2)</f>
        <v>21035.87</v>
      </c>
      <c r="I3" s="7">
        <f>Dashboard!$B$5*(H3-H2)+(1-Dashboard!$B$5)*I2</f>
        <v>13222.939999999999</v>
      </c>
      <c r="J3" s="7">
        <f t="shared" ref="J3:J34" si="1">H2+I2</f>
        <v>21035.87</v>
      </c>
    </row>
    <row r="4" spans="1:16" x14ac:dyDescent="0.3">
      <c r="A4" s="6">
        <v>45676</v>
      </c>
      <c r="B4" s="7">
        <v>25968.68</v>
      </c>
      <c r="C4" s="8">
        <v>769</v>
      </c>
      <c r="D4" s="8">
        <v>130</v>
      </c>
      <c r="E4" s="7">
        <f t="shared" si="0"/>
        <v>199.75907692307692</v>
      </c>
      <c r="G4" s="7">
        <f>Dashboard!$B$4*B3+(1-Dashboard!$B$4)*G3</f>
        <v>11779.811999999998</v>
      </c>
      <c r="H4" s="7">
        <f>Dashboard!$B$4*B4+(1-Dashboard!$B$4)*(H3+I3)</f>
        <v>31771.770999999997</v>
      </c>
      <c r="I4" s="7">
        <f>Dashboard!$B$5*(H4-H3)+(1-Dashboard!$B$5)*I3</f>
        <v>12725.532199999998</v>
      </c>
      <c r="J4" s="7">
        <f t="shared" si="1"/>
        <v>34258.81</v>
      </c>
    </row>
    <row r="5" spans="1:16" x14ac:dyDescent="0.3">
      <c r="A5" s="6">
        <v>45683</v>
      </c>
      <c r="B5" s="7">
        <v>27236.17</v>
      </c>
      <c r="C5" s="8">
        <v>812</v>
      </c>
      <c r="D5" s="8">
        <v>136</v>
      </c>
      <c r="E5" s="7">
        <f t="shared" si="0"/>
        <v>200.26595588235293</v>
      </c>
      <c r="G5" s="7">
        <f>Dashboard!$B$4*B4+(1-Dashboard!$B$4)*G4</f>
        <v>16036.472399999997</v>
      </c>
      <c r="H5" s="7">
        <f>Dashboard!$B$4*B5+(1-Dashboard!$B$4)*(H4+I4)</f>
        <v>39318.963239999997</v>
      </c>
      <c r="I5" s="7">
        <f>Dashboard!$B$5*(H5-H4)+(1-Dashboard!$B$5)*I4</f>
        <v>11689.864207999999</v>
      </c>
      <c r="J5" s="7">
        <f t="shared" si="1"/>
        <v>44497.303199999995</v>
      </c>
    </row>
    <row r="6" spans="1:16" x14ac:dyDescent="0.3">
      <c r="A6" s="6">
        <v>45690</v>
      </c>
      <c r="B6" s="7">
        <v>24355.58</v>
      </c>
      <c r="C6" s="8">
        <v>800</v>
      </c>
      <c r="D6" s="8">
        <v>160</v>
      </c>
      <c r="E6" s="7">
        <f t="shared" si="0"/>
        <v>152.222375</v>
      </c>
      <c r="F6" s="7">
        <f t="shared" ref="F6:F37" si="2">AVERAGE(B2:B5)</f>
        <v>20513.412499999999</v>
      </c>
      <c r="G6" s="7">
        <f>Dashboard!$B$4*B5+(1-Dashboard!$B$4)*G5</f>
        <v>19396.381679999999</v>
      </c>
      <c r="H6" s="7">
        <f>Dashboard!$B$4*B6+(1-Dashboard!$B$4)*(H5+I5)</f>
        <v>43012.853213599992</v>
      </c>
      <c r="I6" s="7">
        <f>Dashboard!$B$5*(H6-H5)+(1-Dashboard!$B$5)*I5</f>
        <v>10090.669361119999</v>
      </c>
      <c r="J6" s="7">
        <f t="shared" si="1"/>
        <v>51008.827447999996</v>
      </c>
    </row>
    <row r="7" spans="1:16" x14ac:dyDescent="0.3">
      <c r="A7" s="6">
        <v>45697</v>
      </c>
      <c r="B7" s="7">
        <v>30851.57</v>
      </c>
      <c r="C7" s="8">
        <v>1039</v>
      </c>
      <c r="D7" s="8">
        <v>168</v>
      </c>
      <c r="E7" s="7">
        <f t="shared" si="0"/>
        <v>183.64029761904763</v>
      </c>
      <c r="F7" s="7">
        <f t="shared" si="2"/>
        <v>24649.075000000001</v>
      </c>
      <c r="G7" s="7">
        <f>Dashboard!$B$4*B6+(1-Dashboard!$B$4)*G6</f>
        <v>20884.141175999997</v>
      </c>
      <c r="H7" s="7">
        <f>Dashboard!$B$4*B7+(1-Dashboard!$B$4)*(H6+I6)</f>
        <v>46427.936802303986</v>
      </c>
      <c r="I7" s="7">
        <f>Dashboard!$B$5*(H7-H6)+(1-Dashboard!$B$5)*I6</f>
        <v>8755.5522066367976</v>
      </c>
      <c r="J7" s="7">
        <f t="shared" si="1"/>
        <v>53103.522574719987</v>
      </c>
    </row>
    <row r="8" spans="1:16" x14ac:dyDescent="0.3">
      <c r="A8" s="6">
        <v>45704</v>
      </c>
      <c r="B8" s="7">
        <v>34520.339999999997</v>
      </c>
      <c r="C8" s="8">
        <v>1089</v>
      </c>
      <c r="D8" s="8">
        <v>186</v>
      </c>
      <c r="E8" s="7">
        <f t="shared" si="0"/>
        <v>185.59322580645158</v>
      </c>
      <c r="F8" s="7">
        <f t="shared" si="2"/>
        <v>27103</v>
      </c>
      <c r="G8" s="7">
        <f>Dashboard!$B$4*B7+(1-Dashboard!$B$4)*G7</f>
        <v>23874.369823199995</v>
      </c>
      <c r="H8" s="7">
        <f>Dashboard!$B$4*B8+(1-Dashboard!$B$4)*(H7+I7)</f>
        <v>48984.544306258547</v>
      </c>
      <c r="I8" s="7">
        <f>Dashboard!$B$5*(H8-H7)+(1-Dashboard!$B$5)*I7</f>
        <v>7515.7632661003508</v>
      </c>
      <c r="J8" s="7">
        <f t="shared" si="1"/>
        <v>55183.489008940785</v>
      </c>
    </row>
    <row r="9" spans="1:16" x14ac:dyDescent="0.3">
      <c r="A9" s="6">
        <v>45711</v>
      </c>
      <c r="B9" s="7">
        <v>36075.4</v>
      </c>
      <c r="C9" s="8">
        <v>1219</v>
      </c>
      <c r="D9" s="8">
        <v>205</v>
      </c>
      <c r="E9" s="7">
        <f t="shared" si="0"/>
        <v>175.97756097560978</v>
      </c>
      <c r="F9" s="7">
        <f t="shared" si="2"/>
        <v>29240.915000000001</v>
      </c>
      <c r="G9" s="7">
        <f>Dashboard!$B$4*B8+(1-Dashboard!$B$4)*G8</f>
        <v>27068.160876239996</v>
      </c>
      <c r="H9" s="7">
        <f>Dashboard!$B$4*B9+(1-Dashboard!$B$4)*(H8+I8)</f>
        <v>50372.835300651226</v>
      </c>
      <c r="I9" s="7">
        <f>Dashboard!$B$5*(H9-H8)+(1-Dashboard!$B$5)*I8</f>
        <v>6290.2688117588168</v>
      </c>
      <c r="J9" s="7">
        <f t="shared" si="1"/>
        <v>56500.307572358899</v>
      </c>
    </row>
    <row r="10" spans="1:16" x14ac:dyDescent="0.3">
      <c r="A10" s="6">
        <v>45718</v>
      </c>
      <c r="B10" s="7">
        <v>42485.120000000003</v>
      </c>
      <c r="C10" s="8">
        <v>1401</v>
      </c>
      <c r="D10" s="8">
        <v>217</v>
      </c>
      <c r="E10" s="7">
        <f t="shared" si="0"/>
        <v>195.78396313364055</v>
      </c>
      <c r="F10" s="7">
        <f t="shared" si="2"/>
        <v>31450.722499999996</v>
      </c>
      <c r="G10" s="7">
        <f>Dashboard!$B$4*B9+(1-Dashboard!$B$4)*G9</f>
        <v>29770.332613367995</v>
      </c>
      <c r="H10" s="7">
        <f>Dashboard!$B$4*B10+(1-Dashboard!$B$4)*(H9+I9)</f>
        <v>52409.70887868703</v>
      </c>
      <c r="I10" s="7">
        <f>Dashboard!$B$5*(H10-H9)+(1-Dashboard!$B$5)*I9</f>
        <v>5439.5897650142142</v>
      </c>
      <c r="J10" s="7">
        <f t="shared" si="1"/>
        <v>56663.104112410045</v>
      </c>
    </row>
    <row r="11" spans="1:16" x14ac:dyDescent="0.3">
      <c r="A11" s="6">
        <v>45725</v>
      </c>
      <c r="B11" s="7">
        <v>48508.45</v>
      </c>
      <c r="C11" s="8">
        <v>1394</v>
      </c>
      <c r="D11" s="8">
        <v>220</v>
      </c>
      <c r="E11" s="7">
        <f t="shared" si="0"/>
        <v>220.49295454545452</v>
      </c>
      <c r="F11" s="7">
        <f t="shared" si="2"/>
        <v>35983.107499999998</v>
      </c>
      <c r="G11" s="7">
        <f>Dashboard!$B$4*B10+(1-Dashboard!$B$4)*G10</f>
        <v>33584.768829357592</v>
      </c>
      <c r="H11" s="7">
        <f>Dashboard!$B$4*B11+(1-Dashboard!$B$4)*(H10+I10)</f>
        <v>55047.044050590863</v>
      </c>
      <c r="I11" s="7">
        <f>Dashboard!$B$5*(H11-H10)+(1-Dashboard!$B$5)*I10</f>
        <v>4879.1388463921385</v>
      </c>
      <c r="J11" s="7">
        <f t="shared" si="1"/>
        <v>57849.298643701244</v>
      </c>
    </row>
    <row r="12" spans="1:16" x14ac:dyDescent="0.3">
      <c r="A12" s="6">
        <v>45732</v>
      </c>
      <c r="B12" s="7">
        <v>39583.9</v>
      </c>
      <c r="C12" s="8">
        <v>1339</v>
      </c>
      <c r="D12" s="8">
        <v>222</v>
      </c>
      <c r="E12" s="7">
        <f t="shared" si="0"/>
        <v>178.30585585585587</v>
      </c>
      <c r="F12" s="7">
        <f t="shared" si="2"/>
        <v>40397.327499999999</v>
      </c>
      <c r="G12" s="7">
        <f>Dashboard!$B$4*B11+(1-Dashboard!$B$4)*G11</f>
        <v>38061.873180550312</v>
      </c>
      <c r="H12" s="7">
        <f>Dashboard!$B$4*B12+(1-Dashboard!$B$4)*(H11+I11)</f>
        <v>53823.498027888098</v>
      </c>
      <c r="I12" s="7">
        <f>Dashboard!$B$5*(H12-H11)+(1-Dashboard!$B$5)*I11</f>
        <v>3658.6018725731578</v>
      </c>
      <c r="J12" s="7">
        <f t="shared" si="1"/>
        <v>59926.182896983002</v>
      </c>
    </row>
    <row r="13" spans="1:16" x14ac:dyDescent="0.3">
      <c r="A13" s="6">
        <v>45739</v>
      </c>
      <c r="B13" s="7">
        <v>43136.89</v>
      </c>
      <c r="C13" s="8">
        <v>1301</v>
      </c>
      <c r="D13" s="8">
        <v>220</v>
      </c>
      <c r="E13" s="7">
        <f t="shared" si="0"/>
        <v>196.07677272727273</v>
      </c>
      <c r="F13" s="7">
        <f t="shared" si="2"/>
        <v>41663.217499999999</v>
      </c>
      <c r="G13" s="7">
        <f>Dashboard!$B$4*B12+(1-Dashboard!$B$4)*G12</f>
        <v>38518.481226385215</v>
      </c>
      <c r="H13" s="7">
        <f>Dashboard!$B$4*B13+(1-Dashboard!$B$4)*(H12+I12)</f>
        <v>53178.53693032288</v>
      </c>
      <c r="I13" s="7">
        <f>Dashboard!$B$5*(H13-H12)+(1-Dashboard!$B$5)*I12</f>
        <v>2797.8892785454832</v>
      </c>
      <c r="J13" s="7">
        <f t="shared" si="1"/>
        <v>57482.099900461253</v>
      </c>
    </row>
    <row r="14" spans="1:16" x14ac:dyDescent="0.3">
      <c r="A14" s="6">
        <v>45746</v>
      </c>
      <c r="B14" s="7">
        <v>43237.69</v>
      </c>
      <c r="C14" s="8">
        <v>1317</v>
      </c>
      <c r="D14" s="8">
        <v>233</v>
      </c>
      <c r="E14" s="7">
        <f t="shared" si="0"/>
        <v>185.56948497854077</v>
      </c>
      <c r="F14" s="7">
        <f t="shared" si="2"/>
        <v>43428.59</v>
      </c>
      <c r="G14" s="7">
        <f>Dashboard!$B$4*B13+(1-Dashboard!$B$4)*G13</f>
        <v>39904.003858469645</v>
      </c>
      <c r="H14" s="7">
        <f>Dashboard!$B$4*B14+(1-Dashboard!$B$4)*(H13+I13)</f>
        <v>52154.805346207853</v>
      </c>
      <c r="I14" s="7">
        <f>Dashboard!$B$5*(H14-H13)+(1-Dashboard!$B$5)*I13</f>
        <v>2033.5651060133812</v>
      </c>
      <c r="J14" s="7">
        <f t="shared" si="1"/>
        <v>55976.426208868361</v>
      </c>
    </row>
    <row r="15" spans="1:16" x14ac:dyDescent="0.3">
      <c r="A15" s="6">
        <v>45753</v>
      </c>
      <c r="B15" s="7">
        <v>51872.51</v>
      </c>
      <c r="C15" s="8">
        <v>1527</v>
      </c>
      <c r="D15" s="8">
        <v>250</v>
      </c>
      <c r="E15" s="7">
        <f t="shared" si="0"/>
        <v>207.49004000000002</v>
      </c>
      <c r="F15" s="7">
        <f t="shared" si="2"/>
        <v>43616.732499999998</v>
      </c>
      <c r="G15" s="7">
        <f>Dashboard!$B$4*B14+(1-Dashboard!$B$4)*G14</f>
        <v>40904.109700928748</v>
      </c>
      <c r="H15" s="7">
        <f>Dashboard!$B$4*B15+(1-Dashboard!$B$4)*(H14+I14)</f>
        <v>53493.612316554863</v>
      </c>
      <c r="I15" s="7">
        <f>Dashboard!$B$5*(H15-H14)+(1-Dashboard!$B$5)*I14</f>
        <v>1894.6134788801071</v>
      </c>
      <c r="J15" s="7">
        <f t="shared" si="1"/>
        <v>54188.370452221236</v>
      </c>
    </row>
    <row r="16" spans="1:16" x14ac:dyDescent="0.3">
      <c r="A16" s="6">
        <v>45760</v>
      </c>
      <c r="B16" s="7">
        <v>42744.28</v>
      </c>
      <c r="C16" s="8">
        <v>1355</v>
      </c>
      <c r="D16" s="8">
        <v>254</v>
      </c>
      <c r="E16" s="7">
        <f t="shared" si="0"/>
        <v>168.28456692913386</v>
      </c>
      <c r="F16" s="7">
        <f t="shared" si="2"/>
        <v>44457.747500000005</v>
      </c>
      <c r="G16" s="7">
        <f>Dashboard!$B$4*B15+(1-Dashboard!$B$4)*G15</f>
        <v>44194.629790650128</v>
      </c>
      <c r="H16" s="7">
        <f>Dashboard!$B$4*B16+(1-Dashboard!$B$4)*(H15+I15)</f>
        <v>51595.042056804479</v>
      </c>
      <c r="I16" s="7">
        <f>Dashboard!$B$5*(H16-H15)+(1-Dashboard!$B$5)*I15</f>
        <v>1135.976731154009</v>
      </c>
      <c r="J16" s="7">
        <f t="shared" si="1"/>
        <v>55388.22579543497</v>
      </c>
    </row>
    <row r="17" spans="1:10" x14ac:dyDescent="0.3">
      <c r="A17" s="6">
        <v>45767</v>
      </c>
      <c r="B17" s="7">
        <v>55494.16</v>
      </c>
      <c r="C17" s="8">
        <v>1685</v>
      </c>
      <c r="D17" s="8">
        <v>267</v>
      </c>
      <c r="E17" s="7">
        <f t="shared" si="0"/>
        <v>207.84329588014984</v>
      </c>
      <c r="F17" s="7">
        <f t="shared" si="2"/>
        <v>45247.842499999999</v>
      </c>
      <c r="G17" s="7">
        <f>Dashboard!$B$4*B16+(1-Dashboard!$B$4)*G16</f>
        <v>43759.524853455092</v>
      </c>
      <c r="H17" s="7">
        <f>Dashboard!$B$4*B17+(1-Dashboard!$B$4)*(H16+I16)</f>
        <v>53559.961151570933</v>
      </c>
      <c r="I17" s="7">
        <f>Dashboard!$B$5*(H17-H16)+(1-Dashboard!$B$5)*I16</f>
        <v>1301.7652038764982</v>
      </c>
      <c r="J17" s="7">
        <f t="shared" si="1"/>
        <v>52731.018787958485</v>
      </c>
    </row>
    <row r="18" spans="1:10" x14ac:dyDescent="0.3">
      <c r="A18" s="6">
        <v>45774</v>
      </c>
      <c r="B18" s="7">
        <v>50019.46</v>
      </c>
      <c r="C18" s="8">
        <v>1649</v>
      </c>
      <c r="D18" s="8">
        <v>270</v>
      </c>
      <c r="E18" s="7">
        <f t="shared" si="0"/>
        <v>185.25725925925926</v>
      </c>
      <c r="F18" s="7">
        <f t="shared" si="2"/>
        <v>48337.16</v>
      </c>
      <c r="G18" s="7">
        <f>Dashboard!$B$4*B17+(1-Dashboard!$B$4)*G17</f>
        <v>47279.915397418561</v>
      </c>
      <c r="H18" s="7">
        <f>Dashboard!$B$4*B18+(1-Dashboard!$B$4)*(H17+I17)</f>
        <v>53409.046448813198</v>
      </c>
      <c r="I18" s="7">
        <f>Dashboard!$B$5*(H18-H17)+(1-Dashboard!$B$5)*I17</f>
        <v>1011.2292225496516</v>
      </c>
      <c r="J18" s="7">
        <f t="shared" si="1"/>
        <v>54861.726355447434</v>
      </c>
    </row>
    <row r="19" spans="1:10" x14ac:dyDescent="0.3">
      <c r="A19" s="6">
        <v>45781</v>
      </c>
      <c r="B19" s="7">
        <v>53008.480000000003</v>
      </c>
      <c r="C19" s="8">
        <v>1723</v>
      </c>
      <c r="D19" s="8">
        <v>281</v>
      </c>
      <c r="E19" s="7">
        <f t="shared" si="0"/>
        <v>188.64227758007118</v>
      </c>
      <c r="F19" s="7">
        <f t="shared" si="2"/>
        <v>50032.602500000001</v>
      </c>
      <c r="G19" s="7">
        <f>Dashboard!$B$4*B18+(1-Dashboard!$B$4)*G18</f>
        <v>48101.778778192995</v>
      </c>
      <c r="H19" s="7">
        <f>Dashboard!$B$4*B19+(1-Dashboard!$B$4)*(H18+I18)</f>
        <v>53996.736969953992</v>
      </c>
      <c r="I19" s="7">
        <f>Dashboard!$B$5*(H19-H18)+(1-Dashboard!$B$5)*I18</f>
        <v>926.52148226788006</v>
      </c>
      <c r="J19" s="7">
        <f t="shared" si="1"/>
        <v>54420.275671362848</v>
      </c>
    </row>
    <row r="20" spans="1:10" x14ac:dyDescent="0.3">
      <c r="A20" s="6">
        <v>45788</v>
      </c>
      <c r="B20" s="7">
        <v>58628.57</v>
      </c>
      <c r="C20" s="8">
        <v>1745</v>
      </c>
      <c r="D20" s="8">
        <v>277</v>
      </c>
      <c r="E20" s="7">
        <f t="shared" si="0"/>
        <v>211.65548736462094</v>
      </c>
      <c r="F20" s="7">
        <f t="shared" si="2"/>
        <v>50316.595000000001</v>
      </c>
      <c r="G20" s="7">
        <f>Dashboard!$B$4*B19+(1-Dashboard!$B$4)*G19</f>
        <v>49573.789144735099</v>
      </c>
      <c r="H20" s="7">
        <f>Dashboard!$B$4*B20+(1-Dashboard!$B$4)*(H19+I19)</f>
        <v>56034.851916555315</v>
      </c>
      <c r="I20" s="7">
        <f>Dashboard!$B$5*(H20-H19)+(1-Dashboard!$B$5)*I19</f>
        <v>1148.8401751345687</v>
      </c>
      <c r="J20" s="7">
        <f t="shared" si="1"/>
        <v>54923.258452221875</v>
      </c>
    </row>
    <row r="21" spans="1:10" x14ac:dyDescent="0.3">
      <c r="A21" s="6">
        <v>45795</v>
      </c>
      <c r="B21" s="7">
        <v>49840.6</v>
      </c>
      <c r="C21" s="8">
        <v>1618</v>
      </c>
      <c r="D21" s="8">
        <v>261</v>
      </c>
      <c r="E21" s="7">
        <f t="shared" si="0"/>
        <v>190.96015325670498</v>
      </c>
      <c r="F21" s="7">
        <f t="shared" si="2"/>
        <v>54287.667500000003</v>
      </c>
      <c r="G21" s="7">
        <f>Dashboard!$B$4*B20+(1-Dashboard!$B$4)*G20</f>
        <v>52290.223401314564</v>
      </c>
      <c r="H21" s="7">
        <f>Dashboard!$B$4*B21+(1-Dashboard!$B$4)*(H20+I20)</f>
        <v>54980.764464182917</v>
      </c>
      <c r="I21" s="7">
        <f>Dashboard!$B$5*(H21-H20)+(1-Dashboard!$B$5)*I20</f>
        <v>708.2546496331754</v>
      </c>
      <c r="J21" s="7">
        <f t="shared" si="1"/>
        <v>57183.692091689882</v>
      </c>
    </row>
    <row r="22" spans="1:10" x14ac:dyDescent="0.3">
      <c r="A22" s="6">
        <v>45802</v>
      </c>
      <c r="B22" s="7">
        <v>55500.78</v>
      </c>
      <c r="C22" s="8">
        <v>1781</v>
      </c>
      <c r="D22" s="8">
        <v>286</v>
      </c>
      <c r="E22" s="7">
        <f t="shared" si="0"/>
        <v>194.05867132867132</v>
      </c>
      <c r="F22" s="7">
        <f t="shared" si="2"/>
        <v>52874.277500000004</v>
      </c>
      <c r="G22" s="7">
        <f>Dashboard!$B$4*B21+(1-Dashboard!$B$4)*G21</f>
        <v>51555.336380920191</v>
      </c>
      <c r="H22" s="7">
        <f>Dashboard!$B$4*B22+(1-Dashboard!$B$4)*(H21+I21)</f>
        <v>55632.547379671261</v>
      </c>
      <c r="I22" s="7">
        <f>Dashboard!$B$5*(H22-H21)+(1-Dashboard!$B$5)*I21</f>
        <v>696.96030280420916</v>
      </c>
      <c r="J22" s="7">
        <f t="shared" si="1"/>
        <v>55689.019113816095</v>
      </c>
    </row>
    <row r="23" spans="1:10" x14ac:dyDescent="0.3">
      <c r="A23" s="6">
        <v>45809</v>
      </c>
      <c r="B23" s="7">
        <v>60196.34</v>
      </c>
      <c r="C23" s="8">
        <v>1872</v>
      </c>
      <c r="D23" s="8">
        <v>290</v>
      </c>
      <c r="E23" s="7">
        <f t="shared" si="0"/>
        <v>207.57358620689655</v>
      </c>
      <c r="F23" s="7">
        <f t="shared" si="2"/>
        <v>54244.607499999998</v>
      </c>
      <c r="G23" s="7">
        <f>Dashboard!$B$4*B22+(1-Dashboard!$B$4)*G22</f>
        <v>52738.969466644136</v>
      </c>
      <c r="H23" s="7">
        <f>Dashboard!$B$4*B23+(1-Dashboard!$B$4)*(H22+I22)</f>
        <v>57489.557377732825</v>
      </c>
      <c r="I23" s="7">
        <f>Dashboard!$B$5*(H23-H22)+(1-Dashboard!$B$5)*I22</f>
        <v>928.97024185568</v>
      </c>
      <c r="J23" s="7">
        <f t="shared" si="1"/>
        <v>56329.507682475472</v>
      </c>
    </row>
    <row r="24" spans="1:10" x14ac:dyDescent="0.3">
      <c r="A24" s="6">
        <v>45816</v>
      </c>
      <c r="B24" s="7">
        <v>61200.43</v>
      </c>
      <c r="C24" s="8">
        <v>1845</v>
      </c>
      <c r="D24" s="8">
        <v>303</v>
      </c>
      <c r="E24" s="7">
        <f t="shared" si="0"/>
        <v>201.98161716171617</v>
      </c>
      <c r="F24" s="7">
        <f t="shared" si="2"/>
        <v>56041.572500000002</v>
      </c>
      <c r="G24" s="7">
        <f>Dashboard!$B$4*B23+(1-Dashboard!$B$4)*G23</f>
        <v>54976.180626650894</v>
      </c>
      <c r="H24" s="7">
        <f>Dashboard!$B$4*B24+(1-Dashboard!$B$4)*(H23+I23)</f>
        <v>59253.098333711947</v>
      </c>
      <c r="I24" s="7">
        <f>Dashboard!$B$5*(H24-H23)+(1-Dashboard!$B$5)*I23</f>
        <v>1095.8843846803684</v>
      </c>
      <c r="J24" s="7">
        <f t="shared" si="1"/>
        <v>58418.527619588502</v>
      </c>
    </row>
    <row r="25" spans="1:10" x14ac:dyDescent="0.3">
      <c r="A25" s="6">
        <v>45823</v>
      </c>
      <c r="B25" s="7">
        <v>56268.08</v>
      </c>
      <c r="C25" s="8">
        <v>1752</v>
      </c>
      <c r="D25" s="8">
        <v>298</v>
      </c>
      <c r="E25" s="7">
        <f t="shared" si="0"/>
        <v>188.81906040268456</v>
      </c>
      <c r="F25" s="7">
        <f t="shared" si="2"/>
        <v>56684.537499999999</v>
      </c>
      <c r="G25" s="7">
        <f>Dashboard!$B$4*B24+(1-Dashboard!$B$4)*G24</f>
        <v>56843.455438655626</v>
      </c>
      <c r="H25" s="7">
        <f>Dashboard!$B$4*B25+(1-Dashboard!$B$4)*(H24+I24)</f>
        <v>59124.711902874616</v>
      </c>
      <c r="I25" s="7">
        <f>Dashboard!$B$5*(H25-H24)+(1-Dashboard!$B$5)*I24</f>
        <v>851.03022157682869</v>
      </c>
      <c r="J25" s="7">
        <f t="shared" si="1"/>
        <v>60348.982718392319</v>
      </c>
    </row>
    <row r="26" spans="1:10" x14ac:dyDescent="0.3">
      <c r="A26" s="6">
        <v>45830</v>
      </c>
      <c r="B26" s="7">
        <v>57260.81</v>
      </c>
      <c r="C26" s="8">
        <v>1775</v>
      </c>
      <c r="D26" s="8">
        <v>292</v>
      </c>
      <c r="E26" s="7">
        <f t="shared" si="0"/>
        <v>196.09866438356164</v>
      </c>
      <c r="F26" s="7">
        <f t="shared" si="2"/>
        <v>58291.407500000001</v>
      </c>
      <c r="G26" s="7">
        <f>Dashboard!$B$4*B25+(1-Dashboard!$B$4)*G25</f>
        <v>56670.842807058936</v>
      </c>
      <c r="H26" s="7">
        <f>Dashboard!$B$4*B26+(1-Dashboard!$B$4)*(H25+I25)</f>
        <v>59161.262487116008</v>
      </c>
      <c r="I26" s="7">
        <f>Dashboard!$B$5*(H26-H25)+(1-Dashboard!$B$5)*I25</f>
        <v>688.13429410974129</v>
      </c>
      <c r="J26" s="7">
        <f t="shared" si="1"/>
        <v>59975.742124451448</v>
      </c>
    </row>
    <row r="27" spans="1:10" x14ac:dyDescent="0.3">
      <c r="A27" s="6">
        <v>45837</v>
      </c>
      <c r="B27" s="7">
        <v>58928.28</v>
      </c>
      <c r="C27" s="8">
        <v>1911</v>
      </c>
      <c r="D27" s="8">
        <v>316</v>
      </c>
      <c r="E27" s="7">
        <f t="shared" si="0"/>
        <v>186.48189873417721</v>
      </c>
      <c r="F27" s="7">
        <f t="shared" si="2"/>
        <v>58731.414999999994</v>
      </c>
      <c r="G27" s="7">
        <f>Dashboard!$B$4*B26+(1-Dashboard!$B$4)*G26</f>
        <v>56847.832964941248</v>
      </c>
      <c r="H27" s="7">
        <f>Dashboard!$B$4*B27+(1-Dashboard!$B$4)*(H26+I26)</f>
        <v>59573.061746858017</v>
      </c>
      <c r="I27" s="7">
        <f>Dashboard!$B$5*(H27-H26)+(1-Dashboard!$B$5)*I26</f>
        <v>632.8672872361949</v>
      </c>
      <c r="J27" s="7">
        <f t="shared" si="1"/>
        <v>59849.396781225747</v>
      </c>
    </row>
    <row r="28" spans="1:10" x14ac:dyDescent="0.3">
      <c r="A28" s="6">
        <v>45844</v>
      </c>
      <c r="B28" s="7">
        <v>52917.22</v>
      </c>
      <c r="C28" s="8">
        <v>1799</v>
      </c>
      <c r="D28" s="8">
        <v>312</v>
      </c>
      <c r="E28" s="7">
        <f t="shared" si="0"/>
        <v>169.60647435897437</v>
      </c>
      <c r="F28" s="7">
        <f t="shared" si="2"/>
        <v>58414.400000000001</v>
      </c>
      <c r="G28" s="7">
        <f>Dashboard!$B$4*B27+(1-Dashboard!$B$4)*G27</f>
        <v>57471.967075458873</v>
      </c>
      <c r="H28" s="7">
        <f>Dashboard!$B$4*B28+(1-Dashboard!$B$4)*(H27+I27)</f>
        <v>58019.31632386594</v>
      </c>
      <c r="I28" s="7">
        <f>Dashboard!$B$5*(H28-H27)+(1-Dashboard!$B$5)*I27</f>
        <v>195.54474519054054</v>
      </c>
      <c r="J28" s="7">
        <f t="shared" si="1"/>
        <v>60205.92903409421</v>
      </c>
    </row>
    <row r="29" spans="1:10" x14ac:dyDescent="0.3">
      <c r="A29" s="6">
        <v>45851</v>
      </c>
      <c r="B29" s="7">
        <v>54095.34</v>
      </c>
      <c r="C29" s="8">
        <v>1768</v>
      </c>
      <c r="D29" s="8">
        <v>309</v>
      </c>
      <c r="E29" s="7">
        <f t="shared" si="0"/>
        <v>175.06582524271843</v>
      </c>
      <c r="F29" s="7">
        <f t="shared" si="2"/>
        <v>56343.597499999996</v>
      </c>
      <c r="G29" s="7">
        <f>Dashboard!$B$4*B28+(1-Dashboard!$B$4)*G28</f>
        <v>56105.542952821204</v>
      </c>
      <c r="H29" s="7">
        <f>Dashboard!$B$4*B29+(1-Dashboard!$B$4)*(H28+I28)</f>
        <v>56979.004748339532</v>
      </c>
      <c r="I29" s="7">
        <f>Dashboard!$B$5*(H29-H28)+(1-Dashboard!$B$5)*I28</f>
        <v>-51.626518952849182</v>
      </c>
      <c r="J29" s="7">
        <f t="shared" si="1"/>
        <v>58214.861069056482</v>
      </c>
    </row>
    <row r="30" spans="1:10" x14ac:dyDescent="0.3">
      <c r="A30" s="6">
        <v>45858</v>
      </c>
      <c r="B30" s="7">
        <v>57501.45</v>
      </c>
      <c r="C30" s="8">
        <v>1768</v>
      </c>
      <c r="D30" s="8">
        <v>297</v>
      </c>
      <c r="E30" s="7">
        <f t="shared" si="0"/>
        <v>193.60757575757575</v>
      </c>
      <c r="F30" s="7">
        <f t="shared" si="2"/>
        <v>55800.412499999999</v>
      </c>
      <c r="G30" s="7">
        <f>Dashboard!$B$4*B29+(1-Dashboard!$B$4)*G29</f>
        <v>55502.482066974837</v>
      </c>
      <c r="H30" s="7">
        <f>Dashboard!$B$4*B30+(1-Dashboard!$B$4)*(H29+I29)</f>
        <v>57099.599760570673</v>
      </c>
      <c r="I30" s="7">
        <f>Dashboard!$B$5*(H30-H29)+(1-Dashboard!$B$5)*I29</f>
        <v>-17.182212716051232</v>
      </c>
      <c r="J30" s="7">
        <f t="shared" si="1"/>
        <v>56927.378229386683</v>
      </c>
    </row>
    <row r="31" spans="1:10" x14ac:dyDescent="0.3">
      <c r="A31" s="6">
        <v>45865</v>
      </c>
      <c r="B31" s="7">
        <v>57338.27</v>
      </c>
      <c r="C31" s="8">
        <v>1720</v>
      </c>
      <c r="D31" s="8">
        <v>288</v>
      </c>
      <c r="E31" s="7">
        <f t="shared" si="0"/>
        <v>199.09121527777776</v>
      </c>
      <c r="F31" s="7">
        <f t="shared" si="2"/>
        <v>55860.572499999995</v>
      </c>
      <c r="G31" s="7">
        <f>Dashboard!$B$4*B30+(1-Dashboard!$B$4)*G30</f>
        <v>56102.172446882381</v>
      </c>
      <c r="H31" s="7">
        <f>Dashboard!$B$4*B31+(1-Dashboard!$B$4)*(H30+I30)</f>
        <v>57159.173283498232</v>
      </c>
      <c r="I31" s="7">
        <f>Dashboard!$B$5*(H31-H30)+(1-Dashboard!$B$5)*I30</f>
        <v>-1.83106558732905</v>
      </c>
      <c r="J31" s="7">
        <f t="shared" si="1"/>
        <v>57082.417547854624</v>
      </c>
    </row>
    <row r="32" spans="1:10" x14ac:dyDescent="0.3">
      <c r="A32" s="6">
        <v>45872</v>
      </c>
      <c r="B32" s="7">
        <v>58723.16</v>
      </c>
      <c r="C32" s="8">
        <v>1875</v>
      </c>
      <c r="D32" s="8">
        <v>309</v>
      </c>
      <c r="E32" s="7">
        <f t="shared" si="0"/>
        <v>190.04258899676375</v>
      </c>
      <c r="F32" s="7">
        <f t="shared" si="2"/>
        <v>55463.07</v>
      </c>
      <c r="G32" s="7">
        <f>Dashboard!$B$4*B31+(1-Dashboard!$B$4)*G31</f>
        <v>56473.001712817662</v>
      </c>
      <c r="H32" s="7">
        <f>Dashboard!$B$4*B32+(1-Dashboard!$B$4)*(H31+I31)</f>
        <v>57627.087552537632</v>
      </c>
      <c r="I32" s="7">
        <f>Dashboard!$B$5*(H32-H31)+(1-Dashboard!$B$5)*I31</f>
        <v>92.118001338016782</v>
      </c>
      <c r="J32" s="7">
        <f t="shared" si="1"/>
        <v>57157.342217910904</v>
      </c>
    </row>
    <row r="33" spans="1:10" x14ac:dyDescent="0.3">
      <c r="A33" s="6">
        <v>45879</v>
      </c>
      <c r="B33" s="7">
        <v>56325.06</v>
      </c>
      <c r="C33" s="8">
        <v>1727</v>
      </c>
      <c r="D33" s="8">
        <v>296</v>
      </c>
      <c r="E33" s="7">
        <f t="shared" si="0"/>
        <v>190.28736486486486</v>
      </c>
      <c r="F33" s="7">
        <f t="shared" si="2"/>
        <v>56914.555</v>
      </c>
      <c r="G33" s="7">
        <f>Dashboard!$B$4*B32+(1-Dashboard!$B$4)*G32</f>
        <v>57148.049198972367</v>
      </c>
      <c r="H33" s="7">
        <f>Dashboard!$B$4*B33+(1-Dashboard!$B$4)*(H32+I32)</f>
        <v>57300.961887712954</v>
      </c>
      <c r="I33" s="7">
        <f>Dashboard!$B$5*(H33-H32)+(1-Dashboard!$B$5)*I32</f>
        <v>8.4692681054778092</v>
      </c>
      <c r="J33" s="7">
        <f t="shared" si="1"/>
        <v>57719.205553875647</v>
      </c>
    </row>
    <row r="34" spans="1:10" x14ac:dyDescent="0.3">
      <c r="A34" s="6">
        <v>45886</v>
      </c>
      <c r="B34" s="7">
        <v>59546.080000000002</v>
      </c>
      <c r="C34" s="8">
        <v>1906</v>
      </c>
      <c r="D34" s="8">
        <v>310</v>
      </c>
      <c r="E34" s="7">
        <f t="shared" ref="E34:E65" si="3">B34/D34</f>
        <v>192.08412903225806</v>
      </c>
      <c r="F34" s="7">
        <f t="shared" si="2"/>
        <v>57471.985000000001</v>
      </c>
      <c r="G34" s="7">
        <f>Dashboard!$B$4*B33+(1-Dashboard!$B$4)*G33</f>
        <v>56901.15243928066</v>
      </c>
      <c r="H34" s="7">
        <f>Dashboard!$B$4*B34+(1-Dashboard!$B$4)*(H33+I33)</f>
        <v>57980.425809072905</v>
      </c>
      <c r="I34" s="7">
        <f>Dashboard!$B$5*(H34-H33)+(1-Dashboard!$B$5)*I33</f>
        <v>142.6681987563725</v>
      </c>
      <c r="J34" s="7">
        <f t="shared" si="1"/>
        <v>57309.431155818434</v>
      </c>
    </row>
    <row r="35" spans="1:10" x14ac:dyDescent="0.3">
      <c r="A35" s="6">
        <v>45893</v>
      </c>
      <c r="B35" s="7">
        <v>54290.07</v>
      </c>
      <c r="C35" s="8">
        <v>1776</v>
      </c>
      <c r="D35" s="8">
        <v>309</v>
      </c>
      <c r="E35" s="7">
        <f t="shared" si="3"/>
        <v>175.69601941747572</v>
      </c>
      <c r="F35" s="7">
        <f t="shared" si="2"/>
        <v>57983.142500000002</v>
      </c>
      <c r="G35" s="7">
        <f>Dashboard!$B$4*B34+(1-Dashboard!$B$4)*G34</f>
        <v>57694.630707496457</v>
      </c>
      <c r="H35" s="7">
        <f>Dashboard!$B$4*B35+(1-Dashboard!$B$4)*(H34+I34)</f>
        <v>56973.186805480495</v>
      </c>
      <c r="I35" s="7">
        <f>Dashboard!$B$5*(H35-H34)+(1-Dashboard!$B$5)*I34</f>
        <v>-87.313241713384187</v>
      </c>
      <c r="J35" s="7">
        <f t="shared" ref="J35:J65" si="4">H34+I34</f>
        <v>58123.094007829277</v>
      </c>
    </row>
    <row r="36" spans="1:10" x14ac:dyDescent="0.3">
      <c r="A36" s="6">
        <v>45900</v>
      </c>
      <c r="B36" s="7">
        <v>57838.35</v>
      </c>
      <c r="C36" s="8">
        <v>1889</v>
      </c>
      <c r="D36" s="8">
        <v>308</v>
      </c>
      <c r="E36" s="7">
        <f t="shared" si="3"/>
        <v>187.78685064935064</v>
      </c>
      <c r="F36" s="7">
        <f t="shared" si="2"/>
        <v>57221.092499999999</v>
      </c>
      <c r="G36" s="7">
        <f>Dashboard!$B$4*B35+(1-Dashboard!$B$4)*G35</f>
        <v>56673.262495247516</v>
      </c>
      <c r="H36" s="7">
        <f>Dashboard!$B$4*B36+(1-Dashboard!$B$4)*(H35+I35)</f>
        <v>57171.616494636975</v>
      </c>
      <c r="I36" s="7">
        <f>Dashboard!$B$5*(H36-H35)+(1-Dashboard!$B$5)*I35</f>
        <v>-30.164655539411179</v>
      </c>
      <c r="J36" s="7">
        <f t="shared" si="4"/>
        <v>56885.873563767113</v>
      </c>
    </row>
    <row r="37" spans="1:10" x14ac:dyDescent="0.3">
      <c r="A37" s="6">
        <v>45907</v>
      </c>
      <c r="B37" s="7">
        <v>57775.69</v>
      </c>
      <c r="C37" s="8">
        <v>1776</v>
      </c>
      <c r="D37" s="8">
        <v>307</v>
      </c>
      <c r="E37" s="7">
        <f t="shared" si="3"/>
        <v>188.19442996742671</v>
      </c>
      <c r="F37" s="7">
        <f t="shared" si="2"/>
        <v>56999.89</v>
      </c>
      <c r="G37" s="7">
        <f>Dashboard!$B$4*B36+(1-Dashboard!$B$4)*G36</f>
        <v>57022.788746673257</v>
      </c>
      <c r="H37" s="7">
        <f>Dashboard!$B$4*B37+(1-Dashboard!$B$4)*(H36+I36)</f>
        <v>57331.723287368295</v>
      </c>
      <c r="I37" s="7">
        <f>Dashboard!$B$5*(H37-H36)+(1-Dashboard!$B$5)*I36</f>
        <v>7.8896341147350029</v>
      </c>
      <c r="J37" s="7">
        <f t="shared" si="4"/>
        <v>57141.451839097565</v>
      </c>
    </row>
    <row r="38" spans="1:10" x14ac:dyDescent="0.3">
      <c r="A38" s="6">
        <v>45914</v>
      </c>
      <c r="B38" s="7">
        <v>51827.48</v>
      </c>
      <c r="C38" s="8">
        <v>1646</v>
      </c>
      <c r="D38" s="8">
        <v>285</v>
      </c>
      <c r="E38" s="7">
        <f t="shared" si="3"/>
        <v>181.85080701754387</v>
      </c>
      <c r="F38" s="7">
        <f t="shared" ref="F38:F69" si="5">AVERAGE(B34:B37)</f>
        <v>57362.547500000001</v>
      </c>
      <c r="G38" s="7">
        <f>Dashboard!$B$4*B37+(1-Dashboard!$B$4)*G37</f>
        <v>57248.659122671277</v>
      </c>
      <c r="H38" s="7">
        <f>Dashboard!$B$4*B38+(1-Dashboard!$B$4)*(H37+I37)</f>
        <v>55685.973045038118</v>
      </c>
      <c r="I38" s="7">
        <f>Dashboard!$B$5*(H38-H37)+(1-Dashboard!$B$5)*I37</f>
        <v>-322.83834117424749</v>
      </c>
      <c r="J38" s="7">
        <f t="shared" si="4"/>
        <v>57339.612921483029</v>
      </c>
    </row>
    <row r="39" spans="1:10" x14ac:dyDescent="0.3">
      <c r="A39" s="6">
        <v>45921</v>
      </c>
      <c r="B39" s="7">
        <v>57882.15</v>
      </c>
      <c r="C39" s="8">
        <v>1814</v>
      </c>
      <c r="D39" s="8">
        <v>290</v>
      </c>
      <c r="E39" s="7">
        <f t="shared" si="3"/>
        <v>199.59362068965518</v>
      </c>
      <c r="F39" s="7">
        <f t="shared" si="5"/>
        <v>55432.897499999999</v>
      </c>
      <c r="G39" s="7">
        <f>Dashboard!$B$4*B38+(1-Dashboard!$B$4)*G38</f>
        <v>55622.305385869891</v>
      </c>
      <c r="H39" s="7">
        <f>Dashboard!$B$4*B39+(1-Dashboard!$B$4)*(H38+I38)</f>
        <v>56118.83929270471</v>
      </c>
      <c r="I39" s="7">
        <f>Dashboard!$B$5*(H39-H38)+(1-Dashboard!$B$5)*I38</f>
        <v>-171.69742340607957</v>
      </c>
      <c r="J39" s="7">
        <f t="shared" si="4"/>
        <v>55363.134703863871</v>
      </c>
    </row>
    <row r="40" spans="1:10" x14ac:dyDescent="0.3">
      <c r="A40" s="6">
        <v>45928</v>
      </c>
      <c r="B40" s="7">
        <v>52462.77</v>
      </c>
      <c r="C40" s="8">
        <v>1707</v>
      </c>
      <c r="D40" s="8">
        <v>282</v>
      </c>
      <c r="E40" s="7">
        <f t="shared" si="3"/>
        <v>186.03819148936168</v>
      </c>
      <c r="F40" s="7">
        <f t="shared" si="5"/>
        <v>56330.917500000003</v>
      </c>
      <c r="G40" s="7">
        <f>Dashboard!$B$4*B39+(1-Dashboard!$B$4)*G39</f>
        <v>56300.258770108921</v>
      </c>
      <c r="H40" s="7">
        <f>Dashboard!$B$4*B40+(1-Dashboard!$B$4)*(H39+I39)</f>
        <v>54901.830308509037</v>
      </c>
      <c r="I40" s="7">
        <f>Dashboard!$B$5*(H40-H39)+(1-Dashboard!$B$5)*I39</f>
        <v>-380.75973556399811</v>
      </c>
      <c r="J40" s="7">
        <f t="shared" si="4"/>
        <v>55947.141869298634</v>
      </c>
    </row>
    <row r="41" spans="1:10" x14ac:dyDescent="0.3">
      <c r="A41" s="6">
        <v>45935</v>
      </c>
      <c r="B41" s="7">
        <v>47694.17</v>
      </c>
      <c r="C41" s="8">
        <v>1561</v>
      </c>
      <c r="D41" s="8">
        <v>276</v>
      </c>
      <c r="E41" s="7">
        <f t="shared" si="3"/>
        <v>172.80496376811593</v>
      </c>
      <c r="F41" s="7">
        <f t="shared" si="5"/>
        <v>54987.022499999999</v>
      </c>
      <c r="G41" s="7">
        <f>Dashboard!$B$4*B40+(1-Dashboard!$B$4)*G40</f>
        <v>55149.012139076243</v>
      </c>
      <c r="H41" s="7">
        <f>Dashboard!$B$4*B41+(1-Dashboard!$B$4)*(H40+I40)</f>
        <v>52473.000401061523</v>
      </c>
      <c r="I41" s="7">
        <f>Dashboard!$B$5*(H41-H40)+(1-Dashboard!$B$5)*I40</f>
        <v>-790.37376994070132</v>
      </c>
      <c r="J41" s="7">
        <f t="shared" si="4"/>
        <v>54521.070572945042</v>
      </c>
    </row>
    <row r="42" spans="1:10" x14ac:dyDescent="0.3">
      <c r="A42" s="6">
        <v>45942</v>
      </c>
      <c r="B42" s="7">
        <v>51932.13</v>
      </c>
      <c r="C42" s="8">
        <v>1681</v>
      </c>
      <c r="D42" s="8">
        <v>297</v>
      </c>
      <c r="E42" s="7">
        <f t="shared" si="3"/>
        <v>174.85565656565655</v>
      </c>
      <c r="F42" s="7">
        <f t="shared" si="5"/>
        <v>52466.642500000002</v>
      </c>
      <c r="G42" s="7">
        <f>Dashboard!$B$4*B41+(1-Dashboard!$B$4)*G41</f>
        <v>52912.559497353366</v>
      </c>
      <c r="H42" s="7">
        <f>Dashboard!$B$4*B42+(1-Dashboard!$B$4)*(H41+I41)</f>
        <v>51757.477641784571</v>
      </c>
      <c r="I42" s="7">
        <f>Dashboard!$B$5*(H42-H41)+(1-Dashboard!$B$5)*I41</f>
        <v>-775.4035678079515</v>
      </c>
      <c r="J42" s="7">
        <f t="shared" si="4"/>
        <v>51682.626631120824</v>
      </c>
    </row>
    <row r="43" spans="1:10" x14ac:dyDescent="0.3">
      <c r="A43" s="6">
        <v>45949</v>
      </c>
      <c r="B43" s="7">
        <v>61708.66</v>
      </c>
      <c r="C43" s="8">
        <v>1849</v>
      </c>
      <c r="D43" s="8">
        <v>303</v>
      </c>
      <c r="E43" s="7">
        <f t="shared" si="3"/>
        <v>203.65894389438944</v>
      </c>
      <c r="F43" s="7">
        <f t="shared" si="5"/>
        <v>52492.805</v>
      </c>
      <c r="G43" s="7">
        <f>Dashboard!$B$4*B42+(1-Dashboard!$B$4)*G42</f>
        <v>52618.430648147347</v>
      </c>
      <c r="H43" s="7">
        <f>Dashboard!$B$4*B43+(1-Dashboard!$B$4)*(H42+I42)</f>
        <v>54200.049851783639</v>
      </c>
      <c r="I43" s="7">
        <f>Dashboard!$B$5*(H43-H42)+(1-Dashboard!$B$5)*I42</f>
        <v>-131.80841224654773</v>
      </c>
      <c r="J43" s="7">
        <f t="shared" si="4"/>
        <v>50982.074073976619</v>
      </c>
    </row>
    <row r="44" spans="1:10" x14ac:dyDescent="0.3">
      <c r="A44" s="6">
        <v>45956</v>
      </c>
      <c r="B44" s="7">
        <v>57619.72</v>
      </c>
      <c r="C44" s="8">
        <v>1795</v>
      </c>
      <c r="D44" s="8">
        <v>290</v>
      </c>
      <c r="E44" s="7">
        <f t="shared" si="3"/>
        <v>198.68868965517242</v>
      </c>
      <c r="F44" s="7">
        <f t="shared" si="5"/>
        <v>53449.432500000003</v>
      </c>
      <c r="G44" s="7">
        <f>Dashboard!$B$4*B43+(1-Dashboard!$B$4)*G43</f>
        <v>55345.499453703145</v>
      </c>
      <c r="H44" s="7">
        <f>Dashboard!$B$4*B44+(1-Dashboard!$B$4)*(H43+I43)</f>
        <v>55133.685007675958</v>
      </c>
      <c r="I44" s="7">
        <f>Dashboard!$B$5*(H44-H43)+(1-Dashboard!$B$5)*I43</f>
        <v>81.280301381225769</v>
      </c>
      <c r="J44" s="7">
        <f t="shared" si="4"/>
        <v>54068.241439537094</v>
      </c>
    </row>
    <row r="45" spans="1:10" x14ac:dyDescent="0.3">
      <c r="A45" s="6">
        <v>45963</v>
      </c>
      <c r="B45" s="7">
        <v>50847.46</v>
      </c>
      <c r="C45" s="8">
        <v>1638</v>
      </c>
      <c r="D45" s="8">
        <v>278</v>
      </c>
      <c r="E45" s="7">
        <f t="shared" si="3"/>
        <v>182.90453237410071</v>
      </c>
      <c r="F45" s="7">
        <f t="shared" si="5"/>
        <v>54738.67</v>
      </c>
      <c r="G45" s="7">
        <f>Dashboard!$B$4*B44+(1-Dashboard!$B$4)*G44</f>
        <v>56027.765617592202</v>
      </c>
      <c r="H45" s="7">
        <f>Dashboard!$B$4*B45+(1-Dashboard!$B$4)*(H44+I44)</f>
        <v>53904.713716340018</v>
      </c>
      <c r="I45" s="7">
        <f>Dashboard!$B$5*(H45-H44)+(1-Dashboard!$B$5)*I44</f>
        <v>-180.77001716220735</v>
      </c>
      <c r="J45" s="7">
        <f t="shared" si="4"/>
        <v>55214.965309057181</v>
      </c>
    </row>
    <row r="46" spans="1:10" x14ac:dyDescent="0.3">
      <c r="A46" s="6">
        <v>45970</v>
      </c>
      <c r="B46" s="7">
        <v>54671.4</v>
      </c>
      <c r="C46" s="8">
        <v>1673</v>
      </c>
      <c r="D46" s="8">
        <v>283</v>
      </c>
      <c r="E46" s="7">
        <f t="shared" si="3"/>
        <v>193.1851590106007</v>
      </c>
      <c r="F46" s="7">
        <f t="shared" si="5"/>
        <v>55526.9925</v>
      </c>
      <c r="G46" s="7">
        <f>Dashboard!$B$4*B45+(1-Dashboard!$B$4)*G45</f>
        <v>54473.673932314538</v>
      </c>
      <c r="H46" s="7">
        <f>Dashboard!$B$4*B46+(1-Dashboard!$B$4)*(H45+I45)</f>
        <v>54008.180589424468</v>
      </c>
      <c r="I46" s="7">
        <f>Dashboard!$B$5*(H46-H45)+(1-Dashboard!$B$5)*I45</f>
        <v>-123.92263911287596</v>
      </c>
      <c r="J46" s="7">
        <f t="shared" si="4"/>
        <v>53723.943699177813</v>
      </c>
    </row>
    <row r="47" spans="1:10" x14ac:dyDescent="0.3">
      <c r="A47" s="6">
        <v>45977</v>
      </c>
      <c r="B47" s="7">
        <v>54282.95</v>
      </c>
      <c r="C47" s="8">
        <v>1763</v>
      </c>
      <c r="D47" s="8">
        <v>304</v>
      </c>
      <c r="E47" s="7">
        <f t="shared" si="3"/>
        <v>178.56233552631579</v>
      </c>
      <c r="F47" s="7">
        <f t="shared" si="5"/>
        <v>56211.81</v>
      </c>
      <c r="G47" s="7">
        <f>Dashboard!$B$4*B46+(1-Dashboard!$B$4)*G46</f>
        <v>54532.991752620175</v>
      </c>
      <c r="H47" s="7">
        <f>Dashboard!$B$4*B47+(1-Dashboard!$B$4)*(H46+I46)</f>
        <v>54003.865565218104</v>
      </c>
      <c r="I47" s="7">
        <f>Dashboard!$B$5*(H47-H46)+(1-Dashboard!$B$5)*I46</f>
        <v>-100.00111613157355</v>
      </c>
      <c r="J47" s="7">
        <f t="shared" si="4"/>
        <v>53884.257950311592</v>
      </c>
    </row>
    <row r="48" spans="1:10" x14ac:dyDescent="0.3">
      <c r="A48" s="6">
        <v>45984</v>
      </c>
      <c r="B48" s="7">
        <v>57009.19</v>
      </c>
      <c r="C48" s="8">
        <v>1721</v>
      </c>
      <c r="D48" s="8">
        <v>278</v>
      </c>
      <c r="E48" s="7">
        <f t="shared" si="3"/>
        <v>205.06902877697843</v>
      </c>
      <c r="F48" s="7">
        <f t="shared" si="5"/>
        <v>54355.382499999992</v>
      </c>
      <c r="G48" s="7">
        <f>Dashboard!$B$4*B47+(1-Dashboard!$B$4)*G47</f>
        <v>54457.979226834112</v>
      </c>
      <c r="H48" s="7">
        <f>Dashboard!$B$4*B48+(1-Dashboard!$B$4)*(H47+I47)</f>
        <v>54835.462114360576</v>
      </c>
      <c r="I48" s="7">
        <f>Dashboard!$B$5*(H48-H47)+(1-Dashboard!$B$5)*I47</f>
        <v>86.318416923235603</v>
      </c>
      <c r="J48" s="7">
        <f t="shared" si="4"/>
        <v>53903.864449086534</v>
      </c>
    </row>
    <row r="49" spans="1:16" x14ac:dyDescent="0.3">
      <c r="A49" s="6">
        <v>45991</v>
      </c>
      <c r="B49" s="7">
        <v>57911.73</v>
      </c>
      <c r="C49" s="8">
        <v>1745</v>
      </c>
      <c r="D49" s="8">
        <v>284</v>
      </c>
      <c r="E49" s="7">
        <f t="shared" si="3"/>
        <v>203.91454225352115</v>
      </c>
      <c r="F49" s="7">
        <f t="shared" si="5"/>
        <v>54202.75</v>
      </c>
      <c r="G49" s="7">
        <f>Dashboard!$B$4*B48+(1-Dashboard!$B$4)*G48</f>
        <v>55223.342458783882</v>
      </c>
      <c r="H49" s="7">
        <f>Dashboard!$B$4*B49+(1-Dashboard!$B$4)*(H48+I48)</f>
        <v>55818.765371898662</v>
      </c>
      <c r="I49" s="7">
        <f>Dashboard!$B$5*(H49-H48)+(1-Dashboard!$B$5)*I48</f>
        <v>265.71538504620565</v>
      </c>
      <c r="J49" s="7">
        <f t="shared" si="4"/>
        <v>54921.78053128381</v>
      </c>
    </row>
    <row r="50" spans="1:16" x14ac:dyDescent="0.3">
      <c r="A50" s="6">
        <v>45998</v>
      </c>
      <c r="B50" s="7">
        <v>51957.8</v>
      </c>
      <c r="C50" s="8">
        <v>1640</v>
      </c>
      <c r="D50" s="8">
        <v>283</v>
      </c>
      <c r="E50" s="7">
        <f t="shared" si="3"/>
        <v>183.59646643109542</v>
      </c>
      <c r="F50" s="7">
        <f t="shared" si="5"/>
        <v>55968.817500000005</v>
      </c>
      <c r="G50" s="7">
        <f>Dashboard!$B$4*B49+(1-Dashboard!$B$4)*G49</f>
        <v>56029.858721148717</v>
      </c>
      <c r="H50" s="7">
        <f>Dashboard!$B$4*B50+(1-Dashboard!$B$4)*(H49+I49)</f>
        <v>54846.476529861407</v>
      </c>
      <c r="I50" s="7">
        <f>Dashboard!$B$5*(H50-H49)+(1-Dashboard!$B$5)*I49</f>
        <v>18.114539629513587</v>
      </c>
      <c r="J50" s="7">
        <f t="shared" si="4"/>
        <v>56084.480756944868</v>
      </c>
    </row>
    <row r="51" spans="1:16" x14ac:dyDescent="0.3">
      <c r="A51" s="6">
        <v>46005</v>
      </c>
      <c r="B51" s="7">
        <v>57268.91</v>
      </c>
      <c r="C51" s="8">
        <v>1697</v>
      </c>
      <c r="D51" s="8">
        <v>279</v>
      </c>
      <c r="E51" s="7">
        <f t="shared" si="3"/>
        <v>205.26491039426526</v>
      </c>
      <c r="F51" s="7">
        <f t="shared" si="5"/>
        <v>55290.417499999996</v>
      </c>
      <c r="G51" s="7">
        <f>Dashboard!$B$4*B50+(1-Dashboard!$B$4)*G50</f>
        <v>54808.241104804096</v>
      </c>
      <c r="H51" s="7">
        <f>Dashboard!$B$4*B51+(1-Dashboard!$B$4)*(H50+I50)</f>
        <v>55585.886748643636</v>
      </c>
      <c r="I51" s="7">
        <f>Dashboard!$B$5*(H51-H50)+(1-Dashboard!$B$5)*I50</f>
        <v>162.37367546005652</v>
      </c>
      <c r="J51" s="7">
        <f t="shared" si="4"/>
        <v>54864.591069490918</v>
      </c>
    </row>
    <row r="52" spans="1:16" x14ac:dyDescent="0.3">
      <c r="A52" s="6">
        <v>46012</v>
      </c>
      <c r="B52" s="7">
        <v>48747.6</v>
      </c>
      <c r="C52" s="8">
        <v>1522</v>
      </c>
      <c r="D52" s="8">
        <v>277</v>
      </c>
      <c r="E52" s="7">
        <f t="shared" si="3"/>
        <v>175.9841155234657</v>
      </c>
      <c r="F52" s="7">
        <f t="shared" si="5"/>
        <v>56036.907500000008</v>
      </c>
      <c r="G52" s="7">
        <f>Dashboard!$B$4*B51+(1-Dashboard!$B$4)*G51</f>
        <v>55546.441773362865</v>
      </c>
      <c r="H52" s="7">
        <f>Dashboard!$B$4*B52+(1-Dashboard!$B$4)*(H51+I51)</f>
        <v>53648.06229687258</v>
      </c>
      <c r="I52" s="7">
        <f>Dashboard!$B$5*(H52-H51)+(1-Dashboard!$B$5)*I51</f>
        <v>-257.66594998616586</v>
      </c>
      <c r="J52" s="7">
        <f t="shared" si="4"/>
        <v>55748.26042410369</v>
      </c>
    </row>
    <row r="53" spans="1:16" x14ac:dyDescent="0.3">
      <c r="A53" s="6">
        <v>46019</v>
      </c>
      <c r="B53" s="7">
        <v>48564.36</v>
      </c>
      <c r="C53" s="8">
        <v>1516</v>
      </c>
      <c r="D53" s="8">
        <v>249</v>
      </c>
      <c r="E53" s="7">
        <f t="shared" si="3"/>
        <v>195.03759036144578</v>
      </c>
      <c r="F53" s="7">
        <f t="shared" si="5"/>
        <v>53971.51</v>
      </c>
      <c r="G53" s="7">
        <f>Dashboard!$B$4*B52+(1-Dashboard!$B$4)*G52</f>
        <v>53506.789241354003</v>
      </c>
      <c r="H53" s="7">
        <f>Dashboard!$B$4*B53+(1-Dashboard!$B$4)*(H52+I52)</f>
        <v>51942.585442820484</v>
      </c>
      <c r="I53" s="7">
        <f>Dashboard!$B$5*(H53-H52)+(1-Dashboard!$B$5)*I52</f>
        <v>-547.22813079935202</v>
      </c>
      <c r="J53" s="7">
        <f t="shared" si="4"/>
        <v>53390.396346886417</v>
      </c>
    </row>
    <row r="54" spans="1:16" x14ac:dyDescent="0.3">
      <c r="A54" s="6">
        <v>46026</v>
      </c>
      <c r="B54" s="7">
        <v>36540.36</v>
      </c>
      <c r="C54" s="8">
        <v>1244</v>
      </c>
      <c r="D54" s="8">
        <v>223</v>
      </c>
      <c r="E54" s="7">
        <f t="shared" si="3"/>
        <v>163.85811659192825</v>
      </c>
      <c r="F54" s="7">
        <f t="shared" si="5"/>
        <v>51634.667499999996</v>
      </c>
      <c r="G54" s="7">
        <f>Dashboard!$B$4*B53+(1-Dashboard!$B$4)*G53</f>
        <v>52024.060468947799</v>
      </c>
      <c r="H54" s="7">
        <f>Dashboard!$B$4*B54+(1-Dashboard!$B$4)*(H53+I53)</f>
        <v>46938.858118414792</v>
      </c>
      <c r="I54" s="7">
        <f>Dashboard!$B$5*(H54-H53)+(1-Dashboard!$B$5)*I53</f>
        <v>-1438.5279695206202</v>
      </c>
      <c r="J54" s="7">
        <f t="shared" si="4"/>
        <v>51395.357312021129</v>
      </c>
    </row>
    <row r="55" spans="1:16" x14ac:dyDescent="0.3">
      <c r="A55" s="6">
        <v>46033</v>
      </c>
      <c r="B55" s="7">
        <v>34971.93</v>
      </c>
      <c r="C55" s="8">
        <v>1106</v>
      </c>
      <c r="D55" s="8">
        <v>182</v>
      </c>
      <c r="E55" s="7">
        <f t="shared" si="3"/>
        <v>192.15346153846153</v>
      </c>
      <c r="F55" s="7">
        <f t="shared" si="5"/>
        <v>47780.307499999995</v>
      </c>
      <c r="G55" s="7">
        <f>Dashboard!$B$4*B54+(1-Dashboard!$B$4)*G54</f>
        <v>47378.950328263454</v>
      </c>
      <c r="H55" s="7">
        <f>Dashboard!$B$4*B55+(1-Dashboard!$B$4)*(H54+I54)</f>
        <v>42341.810104225915</v>
      </c>
      <c r="I55" s="7">
        <f>Dashboard!$B$5*(H55-H54)+(1-Dashboard!$B$5)*I54</f>
        <v>-2070.2319784542715</v>
      </c>
      <c r="J55" s="7">
        <f t="shared" si="4"/>
        <v>45500.330148894172</v>
      </c>
    </row>
    <row r="56" spans="1:16" x14ac:dyDescent="0.3">
      <c r="A56" s="6">
        <v>46040</v>
      </c>
      <c r="B56" s="7">
        <v>31012.43</v>
      </c>
      <c r="C56" s="8">
        <v>940</v>
      </c>
      <c r="D56" s="8">
        <v>155</v>
      </c>
      <c r="E56" s="7">
        <f t="shared" si="3"/>
        <v>200.08019354838709</v>
      </c>
      <c r="F56" s="7">
        <f t="shared" si="5"/>
        <v>42206.0625</v>
      </c>
      <c r="G56" s="7">
        <f>Dashboard!$B$4*B55+(1-Dashboard!$B$4)*G55</f>
        <v>43656.844229784416</v>
      </c>
      <c r="H56" s="7">
        <f>Dashboard!$B$4*B56+(1-Dashboard!$B$4)*(H55+I55)</f>
        <v>37493.833688040148</v>
      </c>
      <c r="I56" s="7">
        <f>Dashboard!$B$5*(H56-H55)+(1-Dashboard!$B$5)*I55</f>
        <v>-2625.7808660005708</v>
      </c>
      <c r="J56" s="7">
        <f t="shared" si="4"/>
        <v>40271.578125771644</v>
      </c>
    </row>
    <row r="57" spans="1:16" x14ac:dyDescent="0.3">
      <c r="A57" s="6">
        <v>46047</v>
      </c>
      <c r="B57" s="7">
        <v>27533.040000000001</v>
      </c>
      <c r="C57" s="8">
        <v>805</v>
      </c>
      <c r="D57" s="8">
        <v>131</v>
      </c>
      <c r="E57" s="7">
        <f t="shared" si="3"/>
        <v>210.17587786259543</v>
      </c>
      <c r="F57" s="7">
        <f t="shared" si="5"/>
        <v>37772.269999999997</v>
      </c>
      <c r="G57" s="7">
        <f>Dashboard!$B$4*B56+(1-Dashboard!$B$4)*G56</f>
        <v>39863.519960849088</v>
      </c>
      <c r="H57" s="7">
        <f>Dashboard!$B$4*B57+(1-Dashboard!$B$4)*(H56+I56)</f>
        <v>32667.548975427704</v>
      </c>
      <c r="I57" s="7">
        <f>Dashboard!$B$5*(H57-H56)+(1-Dashboard!$B$5)*I56</f>
        <v>-3065.8816353229454</v>
      </c>
      <c r="J57" s="7">
        <f t="shared" si="4"/>
        <v>34868.052822039579</v>
      </c>
    </row>
    <row r="58" spans="1:16" x14ac:dyDescent="0.3">
      <c r="A58" s="6">
        <v>46054</v>
      </c>
      <c r="B58" s="7">
        <v>26477.95</v>
      </c>
      <c r="C58" s="8">
        <v>771</v>
      </c>
      <c r="D58" s="8">
        <v>123</v>
      </c>
      <c r="E58" s="7">
        <f t="shared" si="3"/>
        <v>215.2678861788618</v>
      </c>
      <c r="F58" s="7">
        <f t="shared" si="5"/>
        <v>32514.440000000002</v>
      </c>
      <c r="G58" s="7">
        <f>Dashboard!$B$4*B57+(1-Dashboard!$B$4)*G57</f>
        <v>36164.37597259436</v>
      </c>
      <c r="H58" s="7">
        <f>Dashboard!$B$4*B58+(1-Dashboard!$B$4)*(H57+I57)</f>
        <v>28664.552138073333</v>
      </c>
      <c r="I58" s="7">
        <f>Dashboard!$B$5*(H58-H57)+(1-Dashboard!$B$5)*I57</f>
        <v>-3253.3046757292309</v>
      </c>
      <c r="J58" s="7">
        <f t="shared" si="4"/>
        <v>29601.667340104759</v>
      </c>
    </row>
    <row r="59" spans="1:16" x14ac:dyDescent="0.3">
      <c r="A59" s="6">
        <v>46061</v>
      </c>
      <c r="B59" s="7">
        <v>21353.7</v>
      </c>
      <c r="C59" s="8">
        <v>713</v>
      </c>
      <c r="D59" s="8">
        <v>129</v>
      </c>
      <c r="E59" s="7">
        <f t="shared" si="3"/>
        <v>165.5325581395349</v>
      </c>
      <c r="F59" s="7">
        <f t="shared" si="5"/>
        <v>29998.837499999998</v>
      </c>
      <c r="G59" s="7">
        <f>Dashboard!$B$4*B58+(1-Dashboard!$B$4)*G58</f>
        <v>33258.448180816049</v>
      </c>
      <c r="H59" s="7">
        <f>Dashboard!$B$4*B59+(1-Dashboard!$B$4)*(H58+I58)</f>
        <v>24193.983223640869</v>
      </c>
      <c r="I59" s="7">
        <f>Dashboard!$B$5*(H59-H58)+(1-Dashboard!$B$5)*I58</f>
        <v>-3496.7575234698779</v>
      </c>
      <c r="J59" s="7">
        <f t="shared" si="4"/>
        <v>25411.247462344101</v>
      </c>
    </row>
    <row r="60" spans="1:16" x14ac:dyDescent="0.3">
      <c r="A60" s="6">
        <v>46068</v>
      </c>
      <c r="B60" s="7">
        <v>19117.349999999999</v>
      </c>
      <c r="C60" s="8">
        <v>599</v>
      </c>
      <c r="D60" s="8">
        <v>98</v>
      </c>
      <c r="E60" s="7">
        <f t="shared" si="3"/>
        <v>195.07499999999999</v>
      </c>
      <c r="F60" s="7">
        <f t="shared" si="5"/>
        <v>26594.28</v>
      </c>
      <c r="G60" s="7">
        <f>Dashboard!$B$4*B59+(1-Dashboard!$B$4)*G59</f>
        <v>29687.023726571235</v>
      </c>
      <c r="H60" s="7">
        <f>Dashboard!$B$4*B60+(1-Dashboard!$B$4)*(H59+I59)</f>
        <v>20223.262990119692</v>
      </c>
      <c r="I60" s="7">
        <f>Dashboard!$B$5*(H60-H59)+(1-Dashboard!$B$5)*I59</f>
        <v>-3591.5500654801376</v>
      </c>
      <c r="J60" s="7">
        <f t="shared" si="4"/>
        <v>20697.225700170991</v>
      </c>
    </row>
    <row r="61" spans="1:16" x14ac:dyDescent="0.3">
      <c r="A61" s="6">
        <v>46075</v>
      </c>
      <c r="B61" s="7">
        <v>15256.65</v>
      </c>
      <c r="C61" s="8">
        <v>488</v>
      </c>
      <c r="D61" s="8">
        <v>78</v>
      </c>
      <c r="E61" s="7">
        <f t="shared" si="3"/>
        <v>195.59807692307692</v>
      </c>
      <c r="F61" s="7">
        <f t="shared" si="5"/>
        <v>23620.510000000002</v>
      </c>
      <c r="G61" s="7">
        <f>Dashboard!$B$4*B60+(1-Dashboard!$B$4)*G60</f>
        <v>26516.12160859986</v>
      </c>
      <c r="H61" s="7">
        <f>Dashboard!$B$4*B61+(1-Dashboard!$B$4)*(H60+I60)</f>
        <v>16219.194047247689</v>
      </c>
      <c r="I61" s="7">
        <f>Dashboard!$B$5*(H61-H60)+(1-Dashboard!$B$5)*I60</f>
        <v>-3674.053840958511</v>
      </c>
      <c r="J61" s="7">
        <f t="shared" si="4"/>
        <v>16631.712924639556</v>
      </c>
    </row>
    <row r="62" spans="1:16" x14ac:dyDescent="0.3">
      <c r="A62" s="9">
        <v>46082</v>
      </c>
      <c r="B62" s="10">
        <v>12572.86</v>
      </c>
      <c r="C62" s="11">
        <v>430</v>
      </c>
      <c r="D62" s="11">
        <v>72</v>
      </c>
      <c r="E62" s="10">
        <f t="shared" si="3"/>
        <v>174.62305555555557</v>
      </c>
      <c r="F62" s="10">
        <f t="shared" si="5"/>
        <v>20551.412499999999</v>
      </c>
      <c r="G62" s="10">
        <f>Dashboard!$B$4*B61+(1-Dashboard!$B$4)*G61</f>
        <v>23138.280126019901</v>
      </c>
      <c r="H62" s="10">
        <f>Dashboard!$B$4*B62+(1-Dashboard!$B$4)*(H61+I61)</f>
        <v>12553.456144402424</v>
      </c>
      <c r="I62" s="10">
        <f>Dashboard!$B$5*(H62-H61)+(1-Dashboard!$B$5)*I61</f>
        <v>-3672.3906533358618</v>
      </c>
      <c r="J62" s="10">
        <f t="shared" si="4"/>
        <v>12545.140206289178</v>
      </c>
      <c r="K62" s="10">
        <f>AVERAGE($B$58:$B$61)</f>
        <v>20551.412499999999</v>
      </c>
      <c r="L62" s="10">
        <f>Dashboard!$B$4*$B$61+(1-Dashboard!$B$4)*$G$61</f>
        <v>23138.280126019901</v>
      </c>
      <c r="M62" s="10">
        <f>$H$61+1*$I$61</f>
        <v>12545.140206289178</v>
      </c>
      <c r="N62" s="12">
        <f>ABS(B62-K62)/B62</f>
        <v>0.63458532903412568</v>
      </c>
      <c r="O62" s="12">
        <f>ABS(B62-L62)/B62</f>
        <v>0.84033546273639415</v>
      </c>
      <c r="P62" s="12">
        <f>ABS(B62-M62)/B62</f>
        <v>2.2047325517680996E-3</v>
      </c>
    </row>
    <row r="63" spans="1:16" x14ac:dyDescent="0.3">
      <c r="A63" s="9">
        <v>46089</v>
      </c>
      <c r="B63" s="10">
        <v>12341.76</v>
      </c>
      <c r="C63" s="11">
        <v>389</v>
      </c>
      <c r="D63" s="11">
        <v>66</v>
      </c>
      <c r="E63" s="10">
        <f t="shared" si="3"/>
        <v>186.99636363636364</v>
      </c>
      <c r="F63" s="10">
        <f t="shared" si="5"/>
        <v>17075.14</v>
      </c>
      <c r="G63" s="10">
        <f>Dashboard!$B$4*B62+(1-Dashboard!$B$4)*G62</f>
        <v>19968.654088213931</v>
      </c>
      <c r="H63" s="10">
        <f>Dashboard!$B$4*B63+(1-Dashboard!$B$4)*(H62+I62)</f>
        <v>9919.2738437465923</v>
      </c>
      <c r="I63" s="10">
        <f>Dashboard!$B$5*(H63-H62)+(1-Dashboard!$B$5)*I62</f>
        <v>-3464.7489827998561</v>
      </c>
      <c r="J63" s="10">
        <f t="shared" si="4"/>
        <v>8881.0654910665617</v>
      </c>
      <c r="K63" s="10">
        <f>AVERAGE($B$58:$B$61)</f>
        <v>20551.412499999999</v>
      </c>
      <c r="L63" s="10">
        <f>Dashboard!$B$4*$B$61+(1-Dashboard!$B$4)*$G$61</f>
        <v>23138.280126019901</v>
      </c>
      <c r="M63" s="10">
        <f>$H$61+2*$I$61</f>
        <v>8871.086365330666</v>
      </c>
      <c r="N63" s="12">
        <f>ABS(B63-K63)/B63</f>
        <v>0.66519301136952902</v>
      </c>
      <c r="O63" s="12">
        <f>ABS(B63-L63)/B63</f>
        <v>0.87479582539442513</v>
      </c>
      <c r="P63" s="12">
        <f>ABS(B63-M63)/B63</f>
        <v>0.28121383292734053</v>
      </c>
    </row>
    <row r="64" spans="1:16" x14ac:dyDescent="0.3">
      <c r="A64" s="9">
        <v>46096</v>
      </c>
      <c r="B64" s="10">
        <v>13417.56</v>
      </c>
      <c r="C64" s="11">
        <v>411</v>
      </c>
      <c r="D64" s="11">
        <v>68</v>
      </c>
      <c r="E64" s="10">
        <f t="shared" si="3"/>
        <v>197.31705882352941</v>
      </c>
      <c r="F64" s="10">
        <f t="shared" si="5"/>
        <v>14822.155000000001</v>
      </c>
      <c r="G64" s="10">
        <f>Dashboard!$B$4*B63+(1-Dashboard!$B$4)*G63</f>
        <v>17680.585861749751</v>
      </c>
      <c r="H64" s="10">
        <f>Dashboard!$B$4*B64+(1-Dashboard!$B$4)*(H63+I63)</f>
        <v>8543.4354026627152</v>
      </c>
      <c r="I64" s="10">
        <f>Dashboard!$B$5*(H64-H63)+(1-Dashboard!$B$5)*I63</f>
        <v>-3046.9668744566602</v>
      </c>
      <c r="J64" s="10">
        <f t="shared" si="4"/>
        <v>6454.5248609467362</v>
      </c>
      <c r="K64" s="10">
        <f>AVERAGE($B$58:$B$61)</f>
        <v>20551.412499999999</v>
      </c>
      <c r="L64" s="10">
        <f>Dashboard!$B$4*$B$61+(1-Dashboard!$B$4)*$G$61</f>
        <v>23138.280126019901</v>
      </c>
      <c r="M64" s="10">
        <f>$H$61+3*$I$61</f>
        <v>5197.0325243721563</v>
      </c>
      <c r="N64" s="12">
        <f>ABS(B64-K64)/B64</f>
        <v>0.53168031296301255</v>
      </c>
      <c r="O64" s="12">
        <f>ABS(B64-L64)/B64</f>
        <v>0.72447748517762556</v>
      </c>
      <c r="P64" s="12">
        <f>ABS(B64-M64)/B64</f>
        <v>0.6126693285238034</v>
      </c>
    </row>
    <row r="65" spans="1:16" x14ac:dyDescent="0.3">
      <c r="A65" s="9">
        <v>46103</v>
      </c>
      <c r="B65" s="10">
        <v>10364.969999999999</v>
      </c>
      <c r="C65" s="11">
        <v>315</v>
      </c>
      <c r="D65" s="11">
        <v>53</v>
      </c>
      <c r="E65" s="10">
        <f t="shared" si="3"/>
        <v>195.56547169811319</v>
      </c>
      <c r="F65" s="10">
        <f t="shared" si="5"/>
        <v>13397.2075</v>
      </c>
      <c r="G65" s="10">
        <f>Dashboard!$B$4*B64+(1-Dashboard!$B$4)*G64</f>
        <v>16401.678103224825</v>
      </c>
      <c r="H65" s="10">
        <f>Dashboard!$B$4*B65+(1-Dashboard!$B$4)*(H64+I64)</f>
        <v>6957.0189697442374</v>
      </c>
      <c r="I65" s="10">
        <f>Dashboard!$B$5*(H65-H64)+(1-Dashboard!$B$5)*I64</f>
        <v>-2754.8567861490237</v>
      </c>
      <c r="J65" s="10">
        <f t="shared" si="4"/>
        <v>5496.4685282060545</v>
      </c>
      <c r="K65" s="10">
        <f>AVERAGE($B$58:$B$61)</f>
        <v>20551.412499999999</v>
      </c>
      <c r="L65" s="10">
        <f>Dashboard!$B$4*$B$61+(1-Dashboard!$B$4)*$G$61</f>
        <v>23138.280126019901</v>
      </c>
      <c r="M65" s="10">
        <f>$H$61+4*$I$61</f>
        <v>1522.9786834136448</v>
      </c>
      <c r="N65" s="12">
        <f>ABS(B65-K65)/B65</f>
        <v>0.98277587875314643</v>
      </c>
      <c r="O65" s="12">
        <f>ABS(B65-L65)/B65</f>
        <v>1.2323537961055269</v>
      </c>
      <c r="P65" s="12">
        <f>ABS(B65-M65)/B65</f>
        <v>0.8530648247497441</v>
      </c>
    </row>
    <row r="67" spans="1:16" x14ac:dyDescent="0.3">
      <c r="A67" s="13" t="s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zoomScaleNormal="100" workbookViewId="0">
      <selection activeCell="B5" sqref="B5"/>
    </sheetView>
  </sheetViews>
  <sheetFormatPr defaultColWidth="8.6640625" defaultRowHeight="14.4" x14ac:dyDescent="0.3"/>
  <cols>
    <col min="1" max="1" width="74.33203125" bestFit="1" customWidth="1"/>
    <col min="2" max="2" width="15" customWidth="1"/>
    <col min="3" max="3" width="18.5546875" bestFit="1" customWidth="1"/>
    <col min="4" max="5" width="15" customWidth="1"/>
  </cols>
  <sheetData>
    <row r="1" spans="1:3" ht="17.399999999999999" x14ac:dyDescent="0.3">
      <c r="A1" s="1" t="s">
        <v>41</v>
      </c>
      <c r="B1" s="14"/>
      <c r="C1" s="14"/>
    </row>
    <row r="2" spans="1:3" x14ac:dyDescent="0.3">
      <c r="A2" s="14"/>
      <c r="B2" s="14"/>
      <c r="C2" s="14"/>
    </row>
    <row r="3" spans="1:3" x14ac:dyDescent="0.3">
      <c r="A3" s="3" t="s">
        <v>42</v>
      </c>
      <c r="B3" s="14"/>
      <c r="C3" s="14"/>
    </row>
    <row r="4" spans="1:3" x14ac:dyDescent="0.3">
      <c r="A4" s="2" t="s">
        <v>43</v>
      </c>
      <c r="B4" s="15">
        <v>0.3</v>
      </c>
      <c r="C4" s="16" t="s">
        <v>44</v>
      </c>
    </row>
    <row r="5" spans="1:3" x14ac:dyDescent="0.3">
      <c r="A5" s="2" t="s">
        <v>45</v>
      </c>
      <c r="B5" s="15">
        <v>0.2</v>
      </c>
      <c r="C5" s="16" t="s">
        <v>46</v>
      </c>
    </row>
    <row r="6" spans="1:3" x14ac:dyDescent="0.3">
      <c r="A6" s="14"/>
      <c r="B6" s="14"/>
      <c r="C6" s="14"/>
    </row>
    <row r="7" spans="1:3" x14ac:dyDescent="0.3">
      <c r="A7" s="3" t="s">
        <v>47</v>
      </c>
      <c r="B7" s="14"/>
      <c r="C7" s="14"/>
    </row>
    <row r="8" spans="1:3" x14ac:dyDescent="0.3">
      <c r="A8" s="17" t="s">
        <v>48</v>
      </c>
      <c r="B8" s="17" t="s">
        <v>49</v>
      </c>
      <c r="C8" s="14"/>
    </row>
    <row r="9" spans="1:3" x14ac:dyDescent="0.3">
      <c r="A9" s="2" t="s">
        <v>50</v>
      </c>
      <c r="B9" s="18">
        <f>AVERAGE(Forecast!N62:N65)</f>
        <v>0.70355863302995347</v>
      </c>
      <c r="C9" s="14"/>
    </row>
    <row r="10" spans="1:3" x14ac:dyDescent="0.3">
      <c r="A10" s="2" t="s">
        <v>51</v>
      </c>
      <c r="B10" s="18">
        <f>AVERAGE(Forecast!O62:O65)</f>
        <v>0.91799064235349292</v>
      </c>
      <c r="C10" s="14"/>
    </row>
    <row r="11" spans="1:3" x14ac:dyDescent="0.3">
      <c r="A11" s="2" t="s">
        <v>52</v>
      </c>
      <c r="B11" s="18">
        <f>AVERAGE(Forecast!P62:P65)</f>
        <v>0.43728817968816402</v>
      </c>
      <c r="C11" s="14"/>
    </row>
    <row r="12" spans="1:3" x14ac:dyDescent="0.3">
      <c r="A12" s="3" t="s">
        <v>53</v>
      </c>
      <c r="B12" s="3" t="str">
        <f>INDEX(A9:A11,MATCH(MIN(B9:B11),B9:B11,0))</f>
        <v>Holt's Linear Trend</v>
      </c>
      <c r="C12" s="14"/>
    </row>
    <row r="13" spans="1:3" x14ac:dyDescent="0.3">
      <c r="A13" s="14"/>
      <c r="B13" s="14"/>
      <c r="C13" s="14"/>
    </row>
    <row r="14" spans="1:3" x14ac:dyDescent="0.3">
      <c r="A14" s="3" t="s">
        <v>54</v>
      </c>
      <c r="B14" s="14"/>
      <c r="C14" s="14"/>
    </row>
    <row r="15" spans="1:3" x14ac:dyDescent="0.3">
      <c r="A15" s="17" t="s">
        <v>24</v>
      </c>
      <c r="B15" s="17" t="s">
        <v>55</v>
      </c>
      <c r="C15" s="14"/>
    </row>
    <row r="16" spans="1:3" x14ac:dyDescent="0.3">
      <c r="A16" s="19">
        <f>Forecast!A65+7</f>
        <v>46110</v>
      </c>
      <c r="B16" s="20">
        <f>MAX(0,Forecast!$H$65+1*Forecast!$I$65)</f>
        <v>4202.1621835952137</v>
      </c>
      <c r="C16" s="14"/>
    </row>
    <row r="17" spans="1:3" x14ac:dyDescent="0.3">
      <c r="A17" s="19">
        <f>Forecast!A65+14</f>
        <v>46117</v>
      </c>
      <c r="B17" s="20">
        <f>MAX(0,Forecast!$H$65+2*Forecast!$I$65)</f>
        <v>1447.30539744619</v>
      </c>
      <c r="C17" s="14"/>
    </row>
    <row r="18" spans="1:3" x14ac:dyDescent="0.3">
      <c r="A18" s="19">
        <f>Forecast!A65+21</f>
        <v>46124</v>
      </c>
      <c r="B18" s="20">
        <f>MAX(0,Forecast!$H$65+3*Forecast!$I$65)</f>
        <v>0</v>
      </c>
      <c r="C18" s="14"/>
    </row>
    <row r="19" spans="1:3" x14ac:dyDescent="0.3">
      <c r="A19" s="19">
        <f>Forecast!A65+28</f>
        <v>46131</v>
      </c>
      <c r="B19" s="20">
        <f>MAX(0,Forecast!$H$65+4*Forecast!$I$65)</f>
        <v>0</v>
      </c>
      <c r="C19" s="14"/>
    </row>
    <row r="20" spans="1:3" x14ac:dyDescent="0.3">
      <c r="A20" s="16" t="s">
        <v>56</v>
      </c>
      <c r="B20" s="14"/>
      <c r="C20" s="14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Forecast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Reddy Peesari</cp:lastModifiedBy>
  <cp:revision>1</cp:revision>
  <dcterms:created xsi:type="dcterms:W3CDTF">2026-07-17T16:59:28Z</dcterms:created>
  <dcterms:modified xsi:type="dcterms:W3CDTF">2026-07-17T17:07:39Z</dcterms:modified>
  <dc:language>en-US</dc:language>
</cp:coreProperties>
</file>